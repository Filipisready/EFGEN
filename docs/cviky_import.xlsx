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viky" sheetId="1" state="visible" r:id="rId1"/>
    <sheet name="Pomucky" sheetId="2" state="visible" r:id="rId2"/>
    <sheet name="Pravidla" sheetId="3" state="visible" r:id="rId3"/>
    <sheet name="Kontrola" sheetId="4" state="visible" r:id="rId4"/>
  </sheets>
  <definedNames>
    <definedName name="_xlnm._FilterDatabase" localSheetId="0" hidden="1">'Cviky'!$A$1:$N$148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2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2" fillId="2" borderId="0" pivotButton="0" quotePrefix="0" xfId="0"/>
    <xf numFmtId="0" fontId="1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28" customWidth="1" min="2" max="2"/>
    <col width="11" customWidth="1" min="3" max="3"/>
    <col width="12" customWidth="1" min="4" max="4"/>
    <col width="18" customWidth="1" min="5" max="5"/>
    <col width="10" customWidth="1" min="6" max="6"/>
    <col width="18" customWidth="1" min="7" max="7"/>
    <col width="20" customWidth="1" min="8" max="8"/>
    <col width="11" customWidth="1" min="9" max="9"/>
    <col width="16" customWidth="1" min="10" max="10"/>
    <col width="12" customWidth="1" min="11" max="11"/>
    <col width="70" customWidth="1" min="12" max="12"/>
    <col width="28" customWidth="1" min="13" max="13"/>
    <col width="12" customWidth="1" min="14" max="14"/>
  </cols>
  <sheetData>
    <row r="1">
      <c r="A1" s="1" t="inlineStr">
        <is>
          <t>nazev</t>
        </is>
      </c>
      <c r="B1" s="1" t="inlineStr">
        <is>
          <t>alternativni_nazev</t>
        </is>
      </c>
      <c r="C1" s="1" t="inlineStr">
        <is>
          <t>partie</t>
        </is>
      </c>
      <c r="D1" s="1" t="inlineStr">
        <is>
          <t>uroven</t>
        </is>
      </c>
      <c r="E1" s="1" t="inlineStr">
        <is>
          <t>pomucky</t>
        </is>
      </c>
      <c r="F1" s="1" t="inlineStr">
        <is>
          <t>prostredi</t>
        </is>
      </c>
      <c r="G1" s="1" t="inlineStr">
        <is>
          <t>formaty</t>
        </is>
      </c>
      <c r="H1" s="1" t="inlineStr">
        <is>
          <t>bloky</t>
        </is>
      </c>
      <c r="I1" s="1" t="inlineStr">
        <is>
          <t>kardio_sila</t>
        </is>
      </c>
      <c r="J1" s="1" t="inlineStr">
        <is>
          <t>pohybovy_vzorec</t>
        </is>
      </c>
      <c r="K1" s="1" t="inlineStr">
        <is>
          <t>vychozi_hodnota</t>
        </is>
      </c>
      <c r="L1" s="2" t="inlineStr">
        <is>
          <t>popis</t>
        </is>
      </c>
      <c r="M1" s="1" t="inlineStr">
        <is>
          <t>video_url</t>
        </is>
      </c>
      <c r="N1" s="1" t="inlineStr">
        <is>
          <t>jednotka</t>
        </is>
      </c>
    </row>
    <row r="2">
      <c r="A2" s="3" t="inlineStr">
        <is>
          <t>Kruhy pažemi</t>
        </is>
      </c>
      <c r="B2" s="3" t="inlineStr">
        <is>
          <t>Arm circles</t>
        </is>
      </c>
      <c r="C2" s="3" t="inlineStr">
        <is>
          <t>ramena</t>
        </is>
      </c>
      <c r="D2" s="3" t="inlineStr">
        <is>
          <t>začátečník</t>
        </is>
      </c>
      <c r="E2" s="3" t="inlineStr">
        <is>
          <t>vlastní váha</t>
        </is>
      </c>
      <c r="F2" s="3" t="inlineStr">
        <is>
          <t>obojí</t>
        </is>
      </c>
      <c r="G2" s="3" t="inlineStr">
        <is>
          <t>Tabata, TRX, CrossFit</t>
        </is>
      </c>
      <c r="H2" s="3" t="inlineStr">
        <is>
          <t>rozcvička</t>
        </is>
      </c>
      <c r="I2" s="3" t="n">
        <v>2</v>
      </c>
      <c r="J2" s="3" t="inlineStr">
        <is>
          <t>jiné</t>
        </is>
      </c>
      <c r="K2" s="3" t="n">
        <v>15</v>
      </c>
      <c r="L2" s="4" t="inlineStr">
        <is>
          <t>Paže do stran, kruž od malých po velké. Ramena stáhni dolů.</t>
        </is>
      </c>
      <c r="M2" s="3" t="n"/>
      <c r="N2" s="3" t="inlineStr">
        <is>
          <t>opakování</t>
        </is>
      </c>
    </row>
    <row r="3">
      <c r="A3" s="3" t="inlineStr">
        <is>
          <t>Kočka a kráva</t>
        </is>
      </c>
      <c r="B3" s="3" t="inlineStr">
        <is>
          <t>Cat-cow</t>
        </is>
      </c>
      <c r="C3" s="3" t="inlineStr">
        <is>
          <t>záda</t>
        </is>
      </c>
      <c r="D3" s="3" t="inlineStr">
        <is>
          <t>začátečník</t>
        </is>
      </c>
      <c r="E3" s="3" t="inlineStr">
        <is>
          <t>vlastní váha</t>
        </is>
      </c>
      <c r="F3" s="3" t="inlineStr">
        <is>
          <t>obojí</t>
        </is>
      </c>
      <c r="G3" s="3" t="inlineStr">
        <is>
          <t>Tabata, TRX, CrossFit</t>
        </is>
      </c>
      <c r="H3" s="3" t="inlineStr">
        <is>
          <t>rozcvička, zklidnění</t>
        </is>
      </c>
      <c r="I3" s="3" t="n">
        <v>2</v>
      </c>
      <c r="J3" s="3" t="inlineStr">
        <is>
          <t>záklon/předklon</t>
        </is>
      </c>
      <c r="K3" s="3" t="n">
        <v>10</v>
      </c>
      <c r="L3" s="4" t="inlineStr">
        <is>
          <t>Ve vzporu klečmo střídej prohnutí a vyhrbení zad. Dýchej pomalu.</t>
        </is>
      </c>
      <c r="M3" s="3" t="n"/>
      <c r="N3" s="3" t="inlineStr">
        <is>
          <t>opakování</t>
        </is>
      </c>
    </row>
    <row r="4">
      <c r="A4" s="3" t="inlineStr">
        <is>
          <t>Švihy nohou</t>
        </is>
      </c>
      <c r="B4" s="3" t="inlineStr">
        <is>
          <t>Leg swings</t>
        </is>
      </c>
      <c r="C4" s="3" t="inlineStr">
        <is>
          <t>nohy</t>
        </is>
      </c>
      <c r="D4" s="3" t="inlineStr">
        <is>
          <t>začátečník</t>
        </is>
      </c>
      <c r="E4" s="3" t="inlineStr">
        <is>
          <t>vlastní váha</t>
        </is>
      </c>
      <c r="F4" s="3" t="inlineStr">
        <is>
          <t>obojí</t>
        </is>
      </c>
      <c r="G4" s="3" t="inlineStr">
        <is>
          <t>Tabata, TRX, CrossFit</t>
        </is>
      </c>
      <c r="H4" s="3" t="inlineStr">
        <is>
          <t>rozcvička</t>
        </is>
      </c>
      <c r="I4" s="3" t="n">
        <v>2</v>
      </c>
      <c r="J4" s="3" t="inlineStr">
        <is>
          <t>jiné</t>
        </is>
      </c>
      <c r="K4" s="3" t="n">
        <v>10</v>
      </c>
      <c r="L4" s="4" t="inlineStr">
        <is>
          <t>Opři se rukou, švihej nohou vpřed a vzad. Trup zůstává rovný.</t>
        </is>
      </c>
      <c r="M4" s="3" t="n"/>
      <c r="N4" s="3" t="inlineStr">
        <is>
          <t>opakování</t>
        </is>
      </c>
    </row>
    <row r="5">
      <c r="A5" s="3" t="inlineStr">
        <is>
          <t>Kruhy pánví</t>
        </is>
      </c>
      <c r="B5" s="3" t="inlineStr">
        <is>
          <t>Hip circles</t>
        </is>
      </c>
      <c r="C5" s="3" t="inlineStr">
        <is>
          <t>core</t>
        </is>
      </c>
      <c r="D5" s="3" t="inlineStr">
        <is>
          <t>začátečník</t>
        </is>
      </c>
      <c r="E5" s="3" t="inlineStr">
        <is>
          <t>vlastní váha</t>
        </is>
      </c>
      <c r="F5" s="3" t="inlineStr">
        <is>
          <t>obojí</t>
        </is>
      </c>
      <c r="G5" s="3" t="inlineStr">
        <is>
          <t>Tabata, TRX, CrossFit</t>
        </is>
      </c>
      <c r="H5" s="3" t="inlineStr">
        <is>
          <t>rozcvička</t>
        </is>
      </c>
      <c r="I5" s="3" t="n">
        <v>2</v>
      </c>
      <c r="J5" s="3" t="inlineStr">
        <is>
          <t>rotace</t>
        </is>
      </c>
      <c r="K5" s="3" t="n">
        <v>10</v>
      </c>
      <c r="L5" s="4" t="inlineStr">
        <is>
          <t>Ruce v bok, kruž pánví velkými kruhy. Obě strany.</t>
        </is>
      </c>
      <c r="M5" s="3" t="n"/>
      <c r="N5" s="3" t="inlineStr">
        <is>
          <t>opakování</t>
        </is>
      </c>
    </row>
    <row r="6">
      <c r="A6" s="3" t="inlineStr">
        <is>
          <t>Přechod do vzporu (inchworm)</t>
        </is>
      </c>
      <c r="B6" s="3" t="inlineStr">
        <is>
          <t>Inchworm</t>
        </is>
      </c>
      <c r="C6" s="3" t="inlineStr">
        <is>
          <t>celé tělo</t>
        </is>
      </c>
      <c r="D6" s="3" t="inlineStr">
        <is>
          <t>začátečník</t>
        </is>
      </c>
      <c r="E6" s="3" t="inlineStr">
        <is>
          <t>vlastní váha</t>
        </is>
      </c>
      <c r="F6" s="3" t="inlineStr">
        <is>
          <t>obojí</t>
        </is>
      </c>
      <c r="G6" s="3" t="inlineStr">
        <is>
          <t>Tabata, TRX, CrossFit</t>
        </is>
      </c>
      <c r="H6" s="3" t="inlineStr">
        <is>
          <t>rozcvička</t>
        </is>
      </c>
      <c r="I6" s="3" t="n">
        <v>2</v>
      </c>
      <c r="J6" s="3" t="inlineStr">
        <is>
          <t>jiné</t>
        </is>
      </c>
      <c r="K6" s="3" t="n">
        <v>6</v>
      </c>
      <c r="L6" s="4" t="inlineStr">
        <is>
          <t>Z předklonu dojdi rukama do vzporu, zpět dojdi nohama k rukám. Kolena co nejvíc propni.</t>
        </is>
      </c>
      <c r="M6" s="3" t="n"/>
      <c r="N6" s="3" t="inlineStr">
        <is>
          <t>opakování</t>
        </is>
      </c>
    </row>
    <row r="7">
      <c r="A7" s="3" t="inlineStr">
        <is>
          <t>Světově nejlepší protažení</t>
        </is>
      </c>
      <c r="B7" s="3" t="inlineStr">
        <is>
          <t>World's greatest stretch</t>
        </is>
      </c>
      <c r="C7" s="3" t="inlineStr">
        <is>
          <t>nohy</t>
        </is>
      </c>
      <c r="D7" s="3" t="inlineStr">
        <is>
          <t>pokročilý</t>
        </is>
      </c>
      <c r="E7" s="3" t="inlineStr">
        <is>
          <t>vlastní váha</t>
        </is>
      </c>
      <c r="F7" s="3" t="inlineStr">
        <is>
          <t>obojí</t>
        </is>
      </c>
      <c r="G7" s="3" t="inlineStr">
        <is>
          <t>Tabata, TRX, CrossFit</t>
        </is>
      </c>
      <c r="H7" s="3" t="inlineStr">
        <is>
          <t>rozcvička</t>
        </is>
      </c>
      <c r="I7" s="3" t="n">
        <v>2</v>
      </c>
      <c r="J7" s="3" t="inlineStr">
        <is>
          <t>výpad</t>
        </is>
      </c>
      <c r="K7" s="3" t="n">
        <v>5</v>
      </c>
      <c r="L7" s="4" t="inlineStr">
        <is>
          <t>Hluboký výpad, vnitřní ruka na zem, druhou ruku vytoč ke stropu. Střídej strany.</t>
        </is>
      </c>
      <c r="M7" s="3" t="n"/>
      <c r="N7" s="3" t="inlineStr">
        <is>
          <t>opakování</t>
        </is>
      </c>
    </row>
    <row r="8">
      <c r="A8" s="3" t="inlineStr">
        <is>
          <t>Rotace hrudní páteře</t>
        </is>
      </c>
      <c r="B8" s="3" t="inlineStr">
        <is>
          <t>Thread the needle</t>
        </is>
      </c>
      <c r="C8" s="3" t="inlineStr">
        <is>
          <t>záda</t>
        </is>
      </c>
      <c r="D8" s="3" t="inlineStr">
        <is>
          <t>začátečník</t>
        </is>
      </c>
      <c r="E8" s="3" t="inlineStr">
        <is>
          <t>vlastní váha</t>
        </is>
      </c>
      <c r="F8" s="3" t="inlineStr">
        <is>
          <t>obojí</t>
        </is>
      </c>
      <c r="G8" s="3" t="inlineStr">
        <is>
          <t>Tabata, TRX, CrossFit</t>
        </is>
      </c>
      <c r="H8" s="3" t="inlineStr">
        <is>
          <t>rozcvička, zklidnění</t>
        </is>
      </c>
      <c r="I8" s="3" t="n">
        <v>2</v>
      </c>
      <c r="J8" s="3" t="inlineStr">
        <is>
          <t>rotace</t>
        </is>
      </c>
      <c r="K8" s="3" t="n">
        <v>8</v>
      </c>
      <c r="L8" s="4" t="inlineStr">
        <is>
          <t>Ve vzporu klečmo prostrč ruku pod tělem. Hlava následuje ruku.</t>
        </is>
      </c>
      <c r="M8" s="3" t="n"/>
      <c r="N8" s="3" t="inlineStr">
        <is>
          <t>opakování</t>
        </is>
      </c>
    </row>
    <row r="9">
      <c r="A9" s="3" t="inlineStr">
        <is>
          <t>Odtahy gumy</t>
        </is>
      </c>
      <c r="B9" s="3" t="inlineStr">
        <is>
          <t>Band pull-apart</t>
        </is>
      </c>
      <c r="C9" s="3" t="inlineStr">
        <is>
          <t>ramena</t>
        </is>
      </c>
      <c r="D9" s="3" t="inlineStr">
        <is>
          <t>začátečník</t>
        </is>
      </c>
      <c r="E9" s="3" t="inlineStr">
        <is>
          <t>odporová guma</t>
        </is>
      </c>
      <c r="F9" s="3" t="inlineStr">
        <is>
          <t>obojí</t>
        </is>
      </c>
      <c r="G9" s="3" t="inlineStr">
        <is>
          <t>Tabata, TRX, CrossFit</t>
        </is>
      </c>
      <c r="H9" s="3" t="inlineStr">
        <is>
          <t>rozcvička</t>
        </is>
      </c>
      <c r="I9" s="3" t="n">
        <v>3</v>
      </c>
      <c r="J9" s="3" t="inlineStr">
        <is>
          <t>tah</t>
        </is>
      </c>
      <c r="K9" s="3" t="n">
        <v>15</v>
      </c>
      <c r="L9" s="4" t="inlineStr">
        <is>
          <t>Gumu drž před sebou, roztahuj paže do stran. Lopatky stáhni k sobě.</t>
        </is>
      </c>
      <c r="M9" s="3" t="n"/>
      <c r="N9" s="3" t="inlineStr">
        <is>
          <t>opakování</t>
        </is>
      </c>
    </row>
    <row r="10">
      <c r="A10" s="3" t="inlineStr">
        <is>
          <t>Skákací panák</t>
        </is>
      </c>
      <c r="B10" s="3" t="inlineStr">
        <is>
          <t>Jumping jacks</t>
        </is>
      </c>
      <c r="C10" s="3" t="inlineStr">
        <is>
          <t>celé tělo</t>
        </is>
      </c>
      <c r="D10" s="3" t="inlineStr">
        <is>
          <t>začátečník</t>
        </is>
      </c>
      <c r="E10" s="3" t="inlineStr">
        <is>
          <t>vlastní váha</t>
        </is>
      </c>
      <c r="F10" s="3" t="inlineStr">
        <is>
          <t>obojí</t>
        </is>
      </c>
      <c r="G10" s="3" t="inlineStr">
        <is>
          <t>Tabata, CrossFit</t>
        </is>
      </c>
      <c r="H10" s="3" t="inlineStr">
        <is>
          <t>rozcvička, hlavní</t>
        </is>
      </c>
      <c r="I10" s="3" t="n">
        <v>1</v>
      </c>
      <c r="J10" s="3" t="inlineStr">
        <is>
          <t>skok</t>
        </is>
      </c>
      <c r="K10" s="3" t="n">
        <v>20</v>
      </c>
      <c r="L10" s="4" t="inlineStr">
        <is>
          <t>Výskokem rozkroč nohy a zdvihni paže nad hlavu. Zpět výskokem.</t>
        </is>
      </c>
      <c r="M10" s="3" t="n"/>
      <c r="N10" s="3" t="inlineStr">
        <is>
          <t>opakování</t>
        </is>
      </c>
    </row>
    <row r="11">
      <c r="A11" s="3" t="inlineStr">
        <is>
          <t>Zvedání pánve</t>
        </is>
      </c>
      <c r="B11" s="3" t="inlineStr">
        <is>
          <t>Glute bridge</t>
        </is>
      </c>
      <c r="C11" s="3" t="inlineStr">
        <is>
          <t>nohy</t>
        </is>
      </c>
      <c r="D11" s="3" t="inlineStr">
        <is>
          <t>začátečník</t>
        </is>
      </c>
      <c r="E11" s="3" t="inlineStr">
        <is>
          <t>vlastní váha</t>
        </is>
      </c>
      <c r="F11" s="3" t="inlineStr">
        <is>
          <t>obojí</t>
        </is>
      </c>
      <c r="G11" s="3" t="inlineStr">
        <is>
          <t>Tabata, TRX, CrossFit</t>
        </is>
      </c>
      <c r="H11" s="3" t="inlineStr">
        <is>
          <t>rozcvička, hlavní</t>
        </is>
      </c>
      <c r="I11" s="3" t="n">
        <v>3</v>
      </c>
      <c r="J11" s="3" t="inlineStr">
        <is>
          <t>záklon/předklon</t>
        </is>
      </c>
      <c r="K11" s="3" t="n">
        <v>12</v>
      </c>
      <c r="L11" s="4" t="inlineStr">
        <is>
          <t>Vleže na zádech zvedni pánev, stáhni hýždě. Nahoře 1 s drž.</t>
        </is>
      </c>
      <c r="M11" s="3" t="n"/>
      <c r="N11" s="3" t="inlineStr">
        <is>
          <t>opakování</t>
        </is>
      </c>
    </row>
    <row r="12">
      <c r="A12" s="3" t="inlineStr">
        <is>
          <t>Mrtvý brouk</t>
        </is>
      </c>
      <c r="B12" s="3" t="inlineStr">
        <is>
          <t>Dead bug</t>
        </is>
      </c>
      <c r="C12" s="3" t="inlineStr">
        <is>
          <t>core</t>
        </is>
      </c>
      <c r="D12" s="3" t="inlineStr">
        <is>
          <t>začátečník</t>
        </is>
      </c>
      <c r="E12" s="3" t="inlineStr">
        <is>
          <t>vlastní váha</t>
        </is>
      </c>
      <c r="F12" s="3" t="inlineStr">
        <is>
          <t>obojí</t>
        </is>
      </c>
      <c r="G12" s="3" t="inlineStr">
        <is>
          <t>Tabata, TRX, CrossFit</t>
        </is>
      </c>
      <c r="H12" s="3" t="inlineStr">
        <is>
          <t>rozcvička, hlavní</t>
        </is>
      </c>
      <c r="I12" s="3" t="n">
        <v>3</v>
      </c>
      <c r="J12" s="3" t="inlineStr">
        <is>
          <t>jiné</t>
        </is>
      </c>
      <c r="K12" s="3" t="n">
        <v>10</v>
      </c>
      <c r="L12" s="4" t="inlineStr">
        <is>
          <t>Vleže střídavě natahuj protilehlou ruku a nohu. Bedra přitlač k zemi.</t>
        </is>
      </c>
      <c r="M12" s="3" t="n"/>
      <c r="N12" s="3" t="inlineStr">
        <is>
          <t>opakování</t>
        </is>
      </c>
    </row>
    <row r="13">
      <c r="A13" s="3" t="inlineStr">
        <is>
          <t>TRX dřep s oporou</t>
        </is>
      </c>
      <c r="B13" s="3" t="inlineStr">
        <is>
          <t>TRX assisted squat</t>
        </is>
      </c>
      <c r="C13" s="3" t="inlineStr">
        <is>
          <t>nohy</t>
        </is>
      </c>
      <c r="D13" s="3" t="inlineStr">
        <is>
          <t>začátečník</t>
        </is>
      </c>
      <c r="E13" s="3" t="inlineStr">
        <is>
          <t>TRX</t>
        </is>
      </c>
      <c r="F13" s="3" t="inlineStr">
        <is>
          <t>obojí</t>
        </is>
      </c>
      <c r="G13" s="3" t="inlineStr">
        <is>
          <t>TRX</t>
        </is>
      </c>
      <c r="H13" s="3" t="inlineStr">
        <is>
          <t>rozcvička</t>
        </is>
      </c>
      <c r="I13" s="3" t="n">
        <v>2</v>
      </c>
      <c r="J13" s="3" t="inlineStr">
        <is>
          <t>dřep</t>
        </is>
      </c>
      <c r="K13" s="3" t="n">
        <v>10</v>
      </c>
      <c r="L13" s="4" t="inlineStr">
        <is>
          <t>Drž madla, sedni do hlubokého dřepu. Kolena ven, záda rovná.</t>
        </is>
      </c>
      <c r="M13" s="3" t="n"/>
      <c r="N13" s="3" t="inlineStr">
        <is>
          <t>opakování</t>
        </is>
      </c>
    </row>
    <row r="14">
      <c r="A14" s="3" t="inlineStr">
        <is>
          <t>Zvedání kolen na místě</t>
        </is>
      </c>
      <c r="B14" s="3" t="inlineStr">
        <is>
          <t>High knees</t>
        </is>
      </c>
      <c r="C14" s="3" t="inlineStr">
        <is>
          <t>nohy</t>
        </is>
      </c>
      <c r="D14" s="3" t="inlineStr">
        <is>
          <t>začátečník</t>
        </is>
      </c>
      <c r="E14" s="3" t="inlineStr">
        <is>
          <t>vlastní váha</t>
        </is>
      </c>
      <c r="F14" s="3" t="inlineStr">
        <is>
          <t>obojí</t>
        </is>
      </c>
      <c r="G14" s="3" t="inlineStr">
        <is>
          <t>Tabata, CrossFit</t>
        </is>
      </c>
      <c r="H14" s="3" t="inlineStr">
        <is>
          <t>rozcvička, hlavní</t>
        </is>
      </c>
      <c r="I14" s="3" t="n">
        <v>1</v>
      </c>
      <c r="J14" s="3" t="inlineStr">
        <is>
          <t>jiné</t>
        </is>
      </c>
      <c r="K14" s="3" t="n">
        <v>30</v>
      </c>
      <c r="L14" s="4" t="inlineStr">
        <is>
          <t>Běž na místě a zvedej kolena do pasu. Pracuj pažemi.</t>
        </is>
      </c>
      <c r="M14" s="3" t="n"/>
      <c r="N14" s="3" t="inlineStr">
        <is>
          <t>opakování</t>
        </is>
      </c>
    </row>
    <row r="15">
      <c r="A15" s="3" t="inlineStr">
        <is>
          <t>TRX kruhy rameny</t>
        </is>
      </c>
      <c r="B15" s="3" t="inlineStr">
        <is>
          <t>TRX shoulder circles</t>
        </is>
      </c>
      <c r="C15" s="3" t="inlineStr">
        <is>
          <t>ramena</t>
        </is>
      </c>
      <c r="D15" s="3" t="inlineStr">
        <is>
          <t>začátečník</t>
        </is>
      </c>
      <c r="E15" s="3" t="inlineStr">
        <is>
          <t>TRX</t>
        </is>
      </c>
      <c r="F15" s="3" t="inlineStr">
        <is>
          <t>obojí</t>
        </is>
      </c>
      <c r="G15" s="3" t="inlineStr">
        <is>
          <t>TRX</t>
        </is>
      </c>
      <c r="H15" s="3" t="inlineStr">
        <is>
          <t>rozcvička</t>
        </is>
      </c>
      <c r="I15" s="3" t="n">
        <v>2</v>
      </c>
      <c r="J15" s="3" t="inlineStr">
        <is>
          <t>tah</t>
        </is>
      </c>
      <c r="K15" s="3" t="n">
        <v>10</v>
      </c>
      <c r="L15" s="4" t="inlineStr">
        <is>
          <t>Drž madla v předklonu, kruž pažemi do stran. Tělo v jedné linii.</t>
        </is>
      </c>
      <c r="M15" s="3" t="n"/>
      <c r="N15" s="3" t="inlineStr">
        <is>
          <t>opakování</t>
        </is>
      </c>
    </row>
    <row r="16">
      <c r="A16" s="3" t="inlineStr">
        <is>
          <t>Protažení lýtek</t>
        </is>
      </c>
      <c r="B16" s="3" t="inlineStr">
        <is>
          <t>Calf stretch</t>
        </is>
      </c>
      <c r="C16" s="3" t="inlineStr">
        <is>
          <t>nohy</t>
        </is>
      </c>
      <c r="D16" s="3" t="inlineStr">
        <is>
          <t>začátečník</t>
        </is>
      </c>
      <c r="E16" s="3" t="inlineStr">
        <is>
          <t>vlastní váha</t>
        </is>
      </c>
      <c r="F16" s="3" t="inlineStr">
        <is>
          <t>obojí</t>
        </is>
      </c>
      <c r="G16" s="3" t="inlineStr">
        <is>
          <t>Tabata, TRX, CrossFit</t>
        </is>
      </c>
      <c r="H16" s="3" t="inlineStr">
        <is>
          <t>zklidnění</t>
        </is>
      </c>
      <c r="I16" s="3" t="n">
        <v>2</v>
      </c>
      <c r="J16" s="3" t="inlineStr">
        <is>
          <t>jiné</t>
        </is>
      </c>
      <c r="K16" s="3" t="n">
        <v>30</v>
      </c>
      <c r="L16" s="4" t="inlineStr">
        <is>
          <t>Ruce opři o zeď, zadní pata na zem. Drž 30 s a vyměň.</t>
        </is>
      </c>
      <c r="M16" s="3" t="n"/>
      <c r="N16" s="3" t="inlineStr">
        <is>
          <t>sekundy</t>
        </is>
      </c>
    </row>
    <row r="17">
      <c r="A17" s="3" t="inlineStr">
        <is>
          <t>Poloha dítěte</t>
        </is>
      </c>
      <c r="B17" s="3" t="inlineStr">
        <is>
          <t>Child's pose</t>
        </is>
      </c>
      <c r="C17" s="3" t="inlineStr">
        <is>
          <t>záda</t>
        </is>
      </c>
      <c r="D17" s="3" t="inlineStr">
        <is>
          <t>začátečník</t>
        </is>
      </c>
      <c r="E17" s="3" t="inlineStr">
        <is>
          <t>vlastní váha</t>
        </is>
      </c>
      <c r="F17" s="3" t="inlineStr">
        <is>
          <t>obojí</t>
        </is>
      </c>
      <c r="G17" s="3" t="inlineStr">
        <is>
          <t>Tabata, TRX, CrossFit</t>
        </is>
      </c>
      <c r="H17" s="3" t="inlineStr">
        <is>
          <t>zklidnění</t>
        </is>
      </c>
      <c r="I17" s="3" t="n">
        <v>2</v>
      </c>
      <c r="J17" s="3" t="inlineStr">
        <is>
          <t>záklon/předklon</t>
        </is>
      </c>
      <c r="K17" s="3" t="n">
        <v>30</v>
      </c>
      <c r="L17" s="4" t="inlineStr">
        <is>
          <t>Sedni na paty, předkloň se a natáhni paže před sebe. Dýchej do zad.</t>
        </is>
      </c>
      <c r="M17" s="3" t="n"/>
      <c r="N17" s="3" t="inlineStr">
        <is>
          <t>sekundy</t>
        </is>
      </c>
    </row>
    <row r="18">
      <c r="A18" s="3" t="inlineStr">
        <is>
          <t>Protažení předních stehen</t>
        </is>
      </c>
      <c r="B18" s="3" t="inlineStr">
        <is>
          <t>Quad stretch</t>
        </is>
      </c>
      <c r="C18" s="3" t="inlineStr">
        <is>
          <t>nohy</t>
        </is>
      </c>
      <c r="D18" s="3" t="inlineStr">
        <is>
          <t>začátečník</t>
        </is>
      </c>
      <c r="E18" s="3" t="inlineStr">
        <is>
          <t>vlastní váha</t>
        </is>
      </c>
      <c r="F18" s="3" t="inlineStr">
        <is>
          <t>obojí</t>
        </is>
      </c>
      <c r="G18" s="3" t="inlineStr">
        <is>
          <t>Tabata, TRX, CrossFit</t>
        </is>
      </c>
      <c r="H18" s="3" t="inlineStr">
        <is>
          <t>zklidnění</t>
        </is>
      </c>
      <c r="I18" s="3" t="n">
        <v>2</v>
      </c>
      <c r="J18" s="3" t="inlineStr">
        <is>
          <t>jiné</t>
        </is>
      </c>
      <c r="K18" s="3" t="n">
        <v>30</v>
      </c>
      <c r="L18" s="4" t="inlineStr">
        <is>
          <t>Přitáhni patu k hýždím. Kolena u sebe, drž 30 s.</t>
        </is>
      </c>
      <c r="M18" s="3" t="n"/>
      <c r="N18" s="3" t="inlineStr">
        <is>
          <t>sekundy</t>
        </is>
      </c>
    </row>
    <row r="19">
      <c r="A19" s="3" t="inlineStr">
        <is>
          <t>Protažení zadních stehen</t>
        </is>
      </c>
      <c r="B19" s="3" t="inlineStr">
        <is>
          <t>Hamstring stretch</t>
        </is>
      </c>
      <c r="C19" s="3" t="inlineStr">
        <is>
          <t>nohy</t>
        </is>
      </c>
      <c r="D19" s="3" t="inlineStr">
        <is>
          <t>začátečník</t>
        </is>
      </c>
      <c r="E19" s="3" t="inlineStr">
        <is>
          <t>vlastní váha</t>
        </is>
      </c>
      <c r="F19" s="3" t="inlineStr">
        <is>
          <t>obojí</t>
        </is>
      </c>
      <c r="G19" s="3" t="inlineStr">
        <is>
          <t>Tabata, TRX, CrossFit</t>
        </is>
      </c>
      <c r="H19" s="3" t="inlineStr">
        <is>
          <t>zklidnění</t>
        </is>
      </c>
      <c r="I19" s="3" t="n">
        <v>2</v>
      </c>
      <c r="J19" s="3" t="inlineStr">
        <is>
          <t>záklon/předklon</t>
        </is>
      </c>
      <c r="K19" s="3" t="n">
        <v>30</v>
      </c>
      <c r="L19" s="4" t="inlineStr">
        <is>
          <t>V sedu natáhni nohy, předkloň se k prstům. Záda rovná.</t>
        </is>
      </c>
      <c r="M19" s="3" t="n"/>
      <c r="N19" s="3" t="inlineStr">
        <is>
          <t>sekundy</t>
        </is>
      </c>
    </row>
    <row r="20">
      <c r="A20" s="3" t="inlineStr">
        <is>
          <t>Protažení hrudníku ve dveřích</t>
        </is>
      </c>
      <c r="B20" s="3" t="inlineStr">
        <is>
          <t>Doorway chest stretch</t>
        </is>
      </c>
      <c r="C20" s="3" t="inlineStr">
        <is>
          <t>hrudník</t>
        </is>
      </c>
      <c r="D20" s="3" t="inlineStr">
        <is>
          <t>začátečník</t>
        </is>
      </c>
      <c r="E20" s="3" t="inlineStr">
        <is>
          <t>vlastní váha</t>
        </is>
      </c>
      <c r="F20" s="3" t="inlineStr">
        <is>
          <t>uvnitř</t>
        </is>
      </c>
      <c r="G20" s="3" t="inlineStr">
        <is>
          <t>Tabata, TRX, CrossFit</t>
        </is>
      </c>
      <c r="H20" s="3" t="inlineStr">
        <is>
          <t>zklidnění</t>
        </is>
      </c>
      <c r="I20" s="3" t="n">
        <v>2</v>
      </c>
      <c r="J20" s="3" t="inlineStr">
        <is>
          <t>jiné</t>
        </is>
      </c>
      <c r="K20" s="3" t="n">
        <v>30</v>
      </c>
      <c r="L20" s="4" t="inlineStr">
        <is>
          <t>Předloktí opři o rám dveří, zlehka se předkloň. Drž 30 s.</t>
        </is>
      </c>
      <c r="M20" s="3" t="n"/>
      <c r="N20" s="3" t="inlineStr">
        <is>
          <t>sekundy</t>
        </is>
      </c>
    </row>
    <row r="21">
      <c r="A21" s="3" t="inlineStr">
        <is>
          <t>Protažení tricepsu</t>
        </is>
      </c>
      <c r="B21" s="3" t="inlineStr">
        <is>
          <t>Triceps stretch</t>
        </is>
      </c>
      <c r="C21" s="3" t="inlineStr">
        <is>
          <t>paže</t>
        </is>
      </c>
      <c r="D21" s="3" t="inlineStr">
        <is>
          <t>začátečník</t>
        </is>
      </c>
      <c r="E21" s="3" t="inlineStr">
        <is>
          <t>vlastní váha</t>
        </is>
      </c>
      <c r="F21" s="3" t="inlineStr">
        <is>
          <t>obojí</t>
        </is>
      </c>
      <c r="G21" s="3" t="inlineStr">
        <is>
          <t>Tabata, TRX, CrossFit</t>
        </is>
      </c>
      <c r="H21" s="3" t="inlineStr">
        <is>
          <t>zklidnění</t>
        </is>
      </c>
      <c r="I21" s="3" t="n">
        <v>2</v>
      </c>
      <c r="J21" s="3" t="inlineStr">
        <is>
          <t>jiné</t>
        </is>
      </c>
      <c r="K21" s="3" t="n">
        <v>30</v>
      </c>
      <c r="L21" s="4" t="inlineStr">
        <is>
          <t>Dlaň polož mezi lopatky, druhou rukou tlač loket dozadu. Drž 20 s.</t>
        </is>
      </c>
      <c r="M21" s="3" t="n"/>
      <c r="N21" s="3" t="inlineStr">
        <is>
          <t>sekundy</t>
        </is>
      </c>
    </row>
    <row r="22">
      <c r="A22" s="3" t="inlineStr">
        <is>
          <t>Protažení ramen přes hrudník</t>
        </is>
      </c>
      <c r="B22" s="3" t="inlineStr">
        <is>
          <t>Cross-body shoulder stretch</t>
        </is>
      </c>
      <c r="C22" s="3" t="inlineStr">
        <is>
          <t>ramena</t>
        </is>
      </c>
      <c r="D22" s="3" t="inlineStr">
        <is>
          <t>začátečník</t>
        </is>
      </c>
      <c r="E22" s="3" t="inlineStr">
        <is>
          <t>vlastní váha</t>
        </is>
      </c>
      <c r="F22" s="3" t="inlineStr">
        <is>
          <t>obojí</t>
        </is>
      </c>
      <c r="G22" s="3" t="inlineStr">
        <is>
          <t>Tabata, TRX, CrossFit</t>
        </is>
      </c>
      <c r="H22" s="3" t="inlineStr">
        <is>
          <t>zklidnění</t>
        </is>
      </c>
      <c r="I22" s="3" t="n">
        <v>2</v>
      </c>
      <c r="J22" s="3" t="inlineStr">
        <is>
          <t>jiné</t>
        </is>
      </c>
      <c r="K22" s="3" t="n">
        <v>30</v>
      </c>
      <c r="L22" s="4" t="inlineStr">
        <is>
          <t>Paži přitáhni přes hrudník. Rameno držet dole.</t>
        </is>
      </c>
      <c r="M22" s="3" t="n"/>
      <c r="N22" s="3" t="inlineStr">
        <is>
          <t>sekundy</t>
        </is>
      </c>
    </row>
    <row r="23">
      <c r="A23" s="3" t="inlineStr">
        <is>
          <t>Kobra</t>
        </is>
      </c>
      <c r="B23" s="3" t="inlineStr">
        <is>
          <t>Cobra stretch</t>
        </is>
      </c>
      <c r="C23" s="3" t="inlineStr">
        <is>
          <t>core</t>
        </is>
      </c>
      <c r="D23" s="3" t="inlineStr">
        <is>
          <t>začátečník</t>
        </is>
      </c>
      <c r="E23" s="3" t="inlineStr">
        <is>
          <t>vlastní váha</t>
        </is>
      </c>
      <c r="F23" s="3" t="inlineStr">
        <is>
          <t>obojí</t>
        </is>
      </c>
      <c r="G23" s="3" t="inlineStr">
        <is>
          <t>Tabata, TRX, CrossFit</t>
        </is>
      </c>
      <c r="H23" s="3" t="inlineStr">
        <is>
          <t>zklidnění</t>
        </is>
      </c>
      <c r="I23" s="3" t="n">
        <v>2</v>
      </c>
      <c r="J23" s="3" t="inlineStr">
        <is>
          <t>záklon/předklon</t>
        </is>
      </c>
      <c r="K23" s="3" t="n">
        <v>30</v>
      </c>
      <c r="L23" s="4" t="inlineStr">
        <is>
          <t>Z lehu na břiše se zvedni na rukou. Kyčle zůstanou na zemi.</t>
        </is>
      </c>
      <c r="M23" s="3" t="n"/>
      <c r="N23" s="3" t="inlineStr">
        <is>
          <t>sekundy</t>
        </is>
      </c>
    </row>
    <row r="24">
      <c r="A24" s="3" t="inlineStr">
        <is>
          <t>Protažení svalů kyčle</t>
        </is>
      </c>
      <c r="B24" s="3" t="inlineStr">
        <is>
          <t>Hip flexor stretch</t>
        </is>
      </c>
      <c r="C24" s="3" t="inlineStr">
        <is>
          <t>nohy</t>
        </is>
      </c>
      <c r="D24" s="3" t="inlineStr">
        <is>
          <t>začátečník</t>
        </is>
      </c>
      <c r="E24" s="3" t="inlineStr">
        <is>
          <t>vlastní váha</t>
        </is>
      </c>
      <c r="F24" s="3" t="inlineStr">
        <is>
          <t>obojí</t>
        </is>
      </c>
      <c r="G24" s="3" t="inlineStr">
        <is>
          <t>Tabata, TRX, CrossFit</t>
        </is>
      </c>
      <c r="H24" s="3" t="inlineStr">
        <is>
          <t>zklidnění</t>
        </is>
      </c>
      <c r="I24" s="3" t="n">
        <v>2</v>
      </c>
      <c r="J24" s="3" t="inlineStr">
        <is>
          <t>výpad</t>
        </is>
      </c>
      <c r="K24" s="3" t="n">
        <v>30</v>
      </c>
      <c r="L24" s="4" t="inlineStr">
        <is>
          <t>Klekni do výpadu, pánev tlač vpřed. Drž 30 s a vyměň.</t>
        </is>
      </c>
      <c r="M24" s="3" t="n"/>
      <c r="N24" s="3" t="inlineStr">
        <is>
          <t>sekundy</t>
        </is>
      </c>
    </row>
    <row r="25">
      <c r="A25" s="3" t="inlineStr">
        <is>
          <t>Holubice</t>
        </is>
      </c>
      <c r="B25" s="3" t="inlineStr">
        <is>
          <t>Pigeon pose</t>
        </is>
      </c>
      <c r="C25" s="3" t="inlineStr">
        <is>
          <t>nohy</t>
        </is>
      </c>
      <c r="D25" s="3" t="inlineStr">
        <is>
          <t>pokročilý</t>
        </is>
      </c>
      <c r="E25" s="3" t="inlineStr">
        <is>
          <t>vlastní váha</t>
        </is>
      </c>
      <c r="F25" s="3" t="inlineStr">
        <is>
          <t>obojí</t>
        </is>
      </c>
      <c r="G25" s="3" t="inlineStr">
        <is>
          <t>Tabata, TRX, CrossFit</t>
        </is>
      </c>
      <c r="H25" s="3" t="inlineStr">
        <is>
          <t>zklidnění</t>
        </is>
      </c>
      <c r="I25" s="3" t="n">
        <v>2</v>
      </c>
      <c r="J25" s="3" t="inlineStr">
        <is>
          <t>jiné</t>
        </is>
      </c>
      <c r="K25" s="3" t="n">
        <v>30</v>
      </c>
      <c r="L25" s="4" t="inlineStr">
        <is>
          <t>Přední koleno ohni před sebe, zadní nohu natáhni. Předkloň se k zemi.</t>
        </is>
      </c>
      <c r="M25" s="3" t="n"/>
      <c r="N25" s="3" t="inlineStr">
        <is>
          <t>sekundy</t>
        </is>
      </c>
    </row>
    <row r="26">
      <c r="A26" s="3" t="inlineStr">
        <is>
          <t>TRX otevření hrudníku</t>
        </is>
      </c>
      <c r="B26" s="3" t="inlineStr">
        <is>
          <t>TRX chest opener</t>
        </is>
      </c>
      <c r="C26" s="3" t="inlineStr">
        <is>
          <t>hrudník</t>
        </is>
      </c>
      <c r="D26" s="3" t="inlineStr">
        <is>
          <t>začátečník</t>
        </is>
      </c>
      <c r="E26" s="3" t="inlineStr">
        <is>
          <t>TRX</t>
        </is>
      </c>
      <c r="F26" s="3" t="inlineStr">
        <is>
          <t>obojí</t>
        </is>
      </c>
      <c r="G26" s="3" t="inlineStr">
        <is>
          <t>TRX</t>
        </is>
      </c>
      <c r="H26" s="3" t="inlineStr">
        <is>
          <t>zklidnění</t>
        </is>
      </c>
      <c r="I26" s="3" t="n">
        <v>2</v>
      </c>
      <c r="J26" s="3" t="inlineStr">
        <is>
          <t>jiné</t>
        </is>
      </c>
      <c r="K26" s="3" t="n">
        <v>30</v>
      </c>
      <c r="L26" s="4" t="inlineStr">
        <is>
          <t>Drž madla, nakloň se vpřed s paží do stran. Hrudník otevři.</t>
        </is>
      </c>
      <c r="M26" s="3" t="n"/>
      <c r="N26" s="3" t="inlineStr">
        <is>
          <t>sekundy</t>
        </is>
      </c>
    </row>
    <row r="27">
      <c r="A27" s="3" t="inlineStr">
        <is>
          <t>TRX protažení zad v předklonu</t>
        </is>
      </c>
      <c r="B27" s="3" t="inlineStr">
        <is>
          <t>TRX lat stretch</t>
        </is>
      </c>
      <c r="C27" s="3" t="inlineStr">
        <is>
          <t>záda</t>
        </is>
      </c>
      <c r="D27" s="3" t="inlineStr">
        <is>
          <t>začátečník</t>
        </is>
      </c>
      <c r="E27" s="3" t="inlineStr">
        <is>
          <t>TRX</t>
        </is>
      </c>
      <c r="F27" s="3" t="inlineStr">
        <is>
          <t>obojí</t>
        </is>
      </c>
      <c r="G27" s="3" t="inlineStr">
        <is>
          <t>TRX</t>
        </is>
      </c>
      <c r="H27" s="3" t="inlineStr">
        <is>
          <t>zklidnění</t>
        </is>
      </c>
      <c r="I27" s="3" t="n">
        <v>2</v>
      </c>
      <c r="J27" s="3" t="inlineStr">
        <is>
          <t>záklon/předklon</t>
        </is>
      </c>
      <c r="K27" s="3" t="n">
        <v>30</v>
      </c>
      <c r="L27" s="4" t="inlineStr">
        <is>
          <t>Drž madla, pokleskni zadkem vzad. Záda protáhni do délky.</t>
        </is>
      </c>
      <c r="M27" s="3" t="n"/>
      <c r="N27" s="3" t="inlineStr">
        <is>
          <t>sekundy</t>
        </is>
      </c>
    </row>
    <row r="28">
      <c r="A28" s="3" t="inlineStr">
        <is>
          <t>Koleno k hrudi</t>
        </is>
      </c>
      <c r="B28" s="3" t="inlineStr">
        <is>
          <t>Knee to chest</t>
        </is>
      </c>
      <c r="C28" s="3" t="inlineStr">
        <is>
          <t>záda</t>
        </is>
      </c>
      <c r="D28" s="3" t="inlineStr">
        <is>
          <t>začátečník</t>
        </is>
      </c>
      <c r="E28" s="3" t="inlineStr">
        <is>
          <t>vlastní váha</t>
        </is>
      </c>
      <c r="F28" s="3" t="inlineStr">
        <is>
          <t>obojí</t>
        </is>
      </c>
      <c r="G28" s="3" t="inlineStr">
        <is>
          <t>Tabata, TRX, CrossFit</t>
        </is>
      </c>
      <c r="H28" s="3" t="inlineStr">
        <is>
          <t>zklidnění</t>
        </is>
      </c>
      <c r="I28" s="3" t="n">
        <v>2</v>
      </c>
      <c r="J28" s="3" t="inlineStr">
        <is>
          <t>jiné</t>
        </is>
      </c>
      <c r="K28" s="3" t="n">
        <v>30</v>
      </c>
      <c r="L28" s="4" t="inlineStr">
        <is>
          <t>Vleže přitáhni koleno k hrudi oběma rukama. Drž 20 s.</t>
        </is>
      </c>
      <c r="M28" s="3" t="n"/>
      <c r="N28" s="3" t="inlineStr">
        <is>
          <t>sekundy</t>
        </is>
      </c>
    </row>
    <row r="29">
      <c r="A29" s="3" t="inlineStr">
        <is>
          <t>Dřep</t>
        </is>
      </c>
      <c r="B29" s="3" t="inlineStr">
        <is>
          <t>Air squat</t>
        </is>
      </c>
      <c r="C29" s="3" t="inlineStr">
        <is>
          <t>nohy</t>
        </is>
      </c>
      <c r="D29" s="3" t="inlineStr">
        <is>
          <t>začátečník</t>
        </is>
      </c>
      <c r="E29" s="3" t="inlineStr">
        <is>
          <t>vlastní váha</t>
        </is>
      </c>
      <c r="F29" s="3" t="inlineStr">
        <is>
          <t>obojí</t>
        </is>
      </c>
      <c r="G29" s="3" t="inlineStr">
        <is>
          <t>Tabata, CrossFit</t>
        </is>
      </c>
      <c r="H29" s="3" t="inlineStr">
        <is>
          <t>hlavní</t>
        </is>
      </c>
      <c r="I29" s="3" t="n">
        <v>2</v>
      </c>
      <c r="J29" s="3" t="inlineStr">
        <is>
          <t>dřep</t>
        </is>
      </c>
      <c r="K29" s="3" t="n">
        <v>15</v>
      </c>
      <c r="L29" s="4" t="inlineStr">
        <is>
          <t>Rozkrok na šířku ramen, sedni do dřepu. Kolena ven, paty na zemi.</t>
        </is>
      </c>
      <c r="M29" s="3" t="n"/>
      <c r="N29" s="3" t="inlineStr">
        <is>
          <t>opakování</t>
        </is>
      </c>
    </row>
    <row r="30">
      <c r="A30" s="3" t="inlineStr">
        <is>
          <t>TRX dřep</t>
        </is>
      </c>
      <c r="B30" s="3" t="inlineStr">
        <is>
          <t>TRX squat</t>
        </is>
      </c>
      <c r="C30" s="3" t="inlineStr">
        <is>
          <t>nohy</t>
        </is>
      </c>
      <c r="D30" s="3" t="inlineStr">
        <is>
          <t>začátečník</t>
        </is>
      </c>
      <c r="E30" s="3" t="inlineStr">
        <is>
          <t>TRX</t>
        </is>
      </c>
      <c r="F30" s="3" t="inlineStr">
        <is>
          <t>obojí</t>
        </is>
      </c>
      <c r="G30" s="3" t="inlineStr">
        <is>
          <t>Tabata, TRX</t>
        </is>
      </c>
      <c r="H30" s="3" t="inlineStr">
        <is>
          <t>hlavní</t>
        </is>
      </c>
      <c r="I30" s="3" t="n">
        <v>2</v>
      </c>
      <c r="J30" s="3" t="inlineStr">
        <is>
          <t>dřep</t>
        </is>
      </c>
      <c r="K30" s="3" t="n">
        <v>12</v>
      </c>
      <c r="L30" s="4" t="inlineStr">
        <is>
          <t>Drž madla, sedni zadkem dozadu. Zpět se odraz z pat.</t>
        </is>
      </c>
      <c r="M30" s="3" t="n"/>
      <c r="N30" s="3" t="inlineStr">
        <is>
          <t>opakování</t>
        </is>
      </c>
    </row>
    <row r="31">
      <c r="A31" s="3" t="inlineStr">
        <is>
          <t>Dřep s výskokem</t>
        </is>
      </c>
      <c r="B31" s="3" t="inlineStr">
        <is>
          <t>Jump squat</t>
        </is>
      </c>
      <c r="C31" s="3" t="inlineStr">
        <is>
          <t>nohy</t>
        </is>
      </c>
      <c r="D31" s="3" t="inlineStr">
        <is>
          <t>pokročilý</t>
        </is>
      </c>
      <c r="E31" s="3" t="inlineStr">
        <is>
          <t>vlastní váha</t>
        </is>
      </c>
      <c r="F31" s="3" t="inlineStr">
        <is>
          <t>obojí</t>
        </is>
      </c>
      <c r="G31" s="3" t="inlineStr">
        <is>
          <t>Tabata, CrossFit</t>
        </is>
      </c>
      <c r="H31" s="3" t="inlineStr">
        <is>
          <t>hlavní</t>
        </is>
      </c>
      <c r="I31" s="3" t="n">
        <v>1</v>
      </c>
      <c r="J31" s="3" t="inlineStr">
        <is>
          <t>skok</t>
        </is>
      </c>
      <c r="K31" s="3" t="n">
        <v>15</v>
      </c>
      <c r="L31" s="4" t="inlineStr">
        <is>
          <t>Dřep a výbušně vyskoč. Měkce dopadni.</t>
        </is>
      </c>
      <c r="M31" s="3" t="n"/>
      <c r="N31" s="3" t="inlineStr">
        <is>
          <t>opakování</t>
        </is>
      </c>
    </row>
    <row r="32">
      <c r="A32" s="3" t="inlineStr">
        <is>
          <t>Výpad vpřed</t>
        </is>
      </c>
      <c r="B32" s="3" t="inlineStr">
        <is>
          <t>Forward lunge</t>
        </is>
      </c>
      <c r="C32" s="3" t="inlineStr">
        <is>
          <t>nohy</t>
        </is>
      </c>
      <c r="D32" s="3" t="inlineStr">
        <is>
          <t>začátečník</t>
        </is>
      </c>
      <c r="E32" s="3" t="inlineStr">
        <is>
          <t>vlastní váha</t>
        </is>
      </c>
      <c r="F32" s="3" t="inlineStr">
        <is>
          <t>obojí</t>
        </is>
      </c>
      <c r="G32" s="3" t="inlineStr">
        <is>
          <t>Tabata, TRX, CrossFit</t>
        </is>
      </c>
      <c r="H32" s="3" t="inlineStr">
        <is>
          <t>hlavní</t>
        </is>
      </c>
      <c r="I32" s="3" t="n">
        <v>3</v>
      </c>
      <c r="J32" s="3" t="inlineStr">
        <is>
          <t>výpad</t>
        </is>
      </c>
      <c r="K32" s="3" t="n">
        <v>10</v>
      </c>
      <c r="L32" s="4" t="inlineStr">
        <is>
          <t>Dlouhý krok vpřed, koleno nad kotníkem. Odraz se zpět.</t>
        </is>
      </c>
      <c r="M32" s="3" t="n"/>
      <c r="N32" s="3" t="inlineStr">
        <is>
          <t>opakování</t>
        </is>
      </c>
    </row>
    <row r="33">
      <c r="A33" s="3" t="inlineStr">
        <is>
          <t>Výpad s rotací</t>
        </is>
      </c>
      <c r="B33" s="3" t="inlineStr">
        <is>
          <t>Lunge with twist</t>
        </is>
      </c>
      <c r="C33" s="3" t="inlineStr">
        <is>
          <t>nohy</t>
        </is>
      </c>
      <c r="D33" s="3" t="inlineStr">
        <is>
          <t>pokročilý</t>
        </is>
      </c>
      <c r="E33" s="3" t="inlineStr">
        <is>
          <t>medicinbal</t>
        </is>
      </c>
      <c r="F33" s="3" t="inlineStr">
        <is>
          <t>obojí</t>
        </is>
      </c>
      <c r="G33" s="3" t="inlineStr">
        <is>
          <t>Tabata, CrossFit</t>
        </is>
      </c>
      <c r="H33" s="3" t="inlineStr">
        <is>
          <t>hlavní</t>
        </is>
      </c>
      <c r="I33" s="3" t="n">
        <v>3</v>
      </c>
      <c r="J33" s="3" t="inlineStr">
        <is>
          <t>výpad</t>
        </is>
      </c>
      <c r="K33" s="3" t="n">
        <v>10</v>
      </c>
      <c r="L33" s="4" t="inlineStr">
        <is>
          <t>Z výpadu otoč trup ke přední noze s míčem. Záda rovná, kolena nad kotníky.</t>
        </is>
      </c>
      <c r="M33" s="3" t="n"/>
      <c r="N33" s="3" t="inlineStr">
        <is>
          <t>opakování</t>
        </is>
      </c>
    </row>
    <row r="34">
      <c r="A34" s="3" t="inlineStr">
        <is>
          <t>TRX výpad vzad</t>
        </is>
      </c>
      <c r="B34" s="3" t="inlineStr">
        <is>
          <t>TRX suspended lunge</t>
        </is>
      </c>
      <c r="C34" s="3" t="inlineStr">
        <is>
          <t>nohy</t>
        </is>
      </c>
      <c r="D34" s="3" t="inlineStr">
        <is>
          <t>pokročilý</t>
        </is>
      </c>
      <c r="E34" s="3" t="inlineStr">
        <is>
          <t>TRX</t>
        </is>
      </c>
      <c r="F34" s="3" t="inlineStr">
        <is>
          <t>obojí</t>
        </is>
      </c>
      <c r="G34" s="3" t="inlineStr">
        <is>
          <t>TRX</t>
        </is>
      </c>
      <c r="H34" s="3" t="inlineStr">
        <is>
          <t>hlavní</t>
        </is>
      </c>
      <c r="I34" s="3" t="n">
        <v>4</v>
      </c>
      <c r="J34" s="3" t="inlineStr">
        <is>
          <t>výpad</t>
        </is>
      </c>
      <c r="K34" s="3" t="n">
        <v>8</v>
      </c>
      <c r="L34" s="4" t="inlineStr">
        <is>
          <t>Zadní nohu vlož do madla, sedni do výpadu. Tělo vzpřímeně.</t>
        </is>
      </c>
      <c r="M34" s="3" t="n"/>
      <c r="N34" s="3" t="inlineStr">
        <is>
          <t>opakování</t>
        </is>
      </c>
    </row>
    <row r="35">
      <c r="A35" s="3" t="inlineStr">
        <is>
          <t>TRX bulharský dřep</t>
        </is>
      </c>
      <c r="B35" s="3" t="inlineStr">
        <is>
          <t>TRX Bulgarian split squat</t>
        </is>
      </c>
      <c r="C35" s="3" t="inlineStr">
        <is>
          <t>nohy</t>
        </is>
      </c>
      <c r="D35" s="3" t="inlineStr">
        <is>
          <t>expert</t>
        </is>
      </c>
      <c r="E35" s="3" t="inlineStr">
        <is>
          <t>TRX</t>
        </is>
      </c>
      <c r="F35" s="3" t="inlineStr">
        <is>
          <t>obojí</t>
        </is>
      </c>
      <c r="G35" s="3" t="inlineStr">
        <is>
          <t>TRX</t>
        </is>
      </c>
      <c r="H35" s="3" t="inlineStr">
        <is>
          <t>hlavní</t>
        </is>
      </c>
      <c r="I35" s="3" t="n">
        <v>4</v>
      </c>
      <c r="J35" s="3" t="inlineStr">
        <is>
          <t>výpad</t>
        </is>
      </c>
      <c r="K35" s="3" t="n">
        <v>8</v>
      </c>
      <c r="L35" s="4" t="inlineStr">
        <is>
          <t>Zadní nohu vlož do madla, sedni na přední nohu. Koleno nepadá dovnitř.</t>
        </is>
      </c>
      <c r="M35" s="3" t="n"/>
      <c r="N35" s="3" t="inlineStr">
        <is>
          <t>opakování</t>
        </is>
      </c>
    </row>
    <row r="36">
      <c r="A36" s="3" t="inlineStr">
        <is>
          <t>Dřep s kettlebellem u hrudi</t>
        </is>
      </c>
      <c r="B36" s="3" t="inlineStr">
        <is>
          <t>Goblet squat</t>
        </is>
      </c>
      <c r="C36" s="3" t="inlineStr">
        <is>
          <t>nohy</t>
        </is>
      </c>
      <c r="D36" s="3" t="inlineStr">
        <is>
          <t>začátečník</t>
        </is>
      </c>
      <c r="E36" s="3" t="inlineStr">
        <is>
          <t>kettlebell</t>
        </is>
      </c>
      <c r="F36" s="3" t="inlineStr">
        <is>
          <t>obojí</t>
        </is>
      </c>
      <c r="G36" s="3" t="inlineStr">
        <is>
          <t>CrossFit</t>
        </is>
      </c>
      <c r="H36" s="3" t="inlineStr">
        <is>
          <t>hlavní</t>
        </is>
      </c>
      <c r="I36" s="3" t="n">
        <v>3</v>
      </c>
      <c r="J36" s="3" t="inlineStr">
        <is>
          <t>dřep</t>
        </is>
      </c>
      <c r="K36" s="3" t="n">
        <v>12</v>
      </c>
      <c r="L36" s="4" t="inlineStr">
        <is>
          <t>Kettlebell drž u hrudi, sedni do dřepu. Lokty mezi kolena.</t>
        </is>
      </c>
      <c r="M36" s="3" t="n"/>
      <c r="N36" s="3" t="inlineStr">
        <is>
          <t>opakování</t>
        </is>
      </c>
    </row>
    <row r="37">
      <c r="A37" s="3" t="inlineStr">
        <is>
          <t>Švih s kettlebellem</t>
        </is>
      </c>
      <c r="B37" s="3" t="inlineStr">
        <is>
          <t>Kettlebell swing</t>
        </is>
      </c>
      <c r="C37" s="3" t="inlineStr">
        <is>
          <t>nohy</t>
        </is>
      </c>
      <c r="D37" s="3" t="inlineStr">
        <is>
          <t>pokročilý</t>
        </is>
      </c>
      <c r="E37" s="3" t="inlineStr">
        <is>
          <t>kettlebell</t>
        </is>
      </c>
      <c r="F37" s="3" t="inlineStr">
        <is>
          <t>obojí</t>
        </is>
      </c>
      <c r="G37" s="3" t="inlineStr">
        <is>
          <t>Tabata, CrossFit</t>
        </is>
      </c>
      <c r="H37" s="3" t="inlineStr">
        <is>
          <t>hlavní</t>
        </is>
      </c>
      <c r="I37" s="3" t="n">
        <v>3</v>
      </c>
      <c r="J37" s="3" t="inlineStr">
        <is>
          <t>záklon/předklon</t>
        </is>
      </c>
      <c r="K37" s="3" t="n">
        <v>15</v>
      </c>
      <c r="L37" s="4" t="inlineStr">
        <is>
          <t>Švihni kettlebellem silou kyčlí do výšky hrudi. Záda rovná, paže jen vedou.</t>
        </is>
      </c>
      <c r="M37" s="3" t="n"/>
      <c r="N37" s="3" t="inlineStr">
        <is>
          <t>opakování</t>
        </is>
      </c>
    </row>
    <row r="38">
      <c r="A38" s="3" t="inlineStr">
        <is>
          <t>Mrtvý tah s činkami</t>
        </is>
      </c>
      <c r="B38" s="3" t="inlineStr">
        <is>
          <t>Dumbbell deadlift</t>
        </is>
      </c>
      <c r="C38" s="3" t="inlineStr">
        <is>
          <t>nohy</t>
        </is>
      </c>
      <c r="D38" s="3" t="inlineStr">
        <is>
          <t>pokročilý</t>
        </is>
      </c>
      <c r="E38" s="3" t="inlineStr">
        <is>
          <t>činky</t>
        </is>
      </c>
      <c r="F38" s="3" t="inlineStr">
        <is>
          <t>obojí</t>
        </is>
      </c>
      <c r="G38" s="3" t="inlineStr">
        <is>
          <t>CrossFit</t>
        </is>
      </c>
      <c r="H38" s="3" t="inlineStr">
        <is>
          <t>hlavní</t>
        </is>
      </c>
      <c r="I38" s="3" t="n">
        <v>5</v>
      </c>
      <c r="J38" s="3" t="inlineStr">
        <is>
          <t>záklon/předklon</t>
        </is>
      </c>
      <c r="K38" s="3" t="n">
        <v>10</v>
      </c>
      <c r="L38" s="4" t="inlineStr">
        <is>
          <t>Činky u nohou, zvedni se zády rovnými. Kyčle tlač dopředu.</t>
        </is>
      </c>
      <c r="M38" s="3" t="n"/>
      <c r="N38" s="3" t="inlineStr">
        <is>
          <t>opakování</t>
        </is>
      </c>
    </row>
    <row r="39">
      <c r="A39" s="3" t="inlineStr">
        <is>
          <t>Výskok na bednu</t>
        </is>
      </c>
      <c r="B39" s="3" t="inlineStr">
        <is>
          <t>Box jump</t>
        </is>
      </c>
      <c r="C39" s="3" t="inlineStr">
        <is>
          <t>nohy</t>
        </is>
      </c>
      <c r="D39" s="3" t="inlineStr">
        <is>
          <t>pokročilý</t>
        </is>
      </c>
      <c r="E39" s="3" t="inlineStr">
        <is>
          <t>bedna</t>
        </is>
      </c>
      <c r="F39" s="3" t="inlineStr">
        <is>
          <t>obojí</t>
        </is>
      </c>
      <c r="G39" s="3" t="inlineStr">
        <is>
          <t>Tabata, CrossFit</t>
        </is>
      </c>
      <c r="H39" s="3" t="inlineStr">
        <is>
          <t>hlavní</t>
        </is>
      </c>
      <c r="I39" s="3" t="n">
        <v>2</v>
      </c>
      <c r="J39" s="3" t="inlineStr">
        <is>
          <t>skok</t>
        </is>
      </c>
      <c r="K39" s="3" t="n">
        <v>10</v>
      </c>
      <c r="L39" s="4" t="inlineStr">
        <is>
          <t>Výskokem dopadni na bednu oběma nohama. Zpět sestup.</t>
        </is>
      </c>
      <c r="M39" s="3" t="n"/>
      <c r="N39" s="3" t="inlineStr">
        <is>
          <t>opakování</t>
        </is>
      </c>
    </row>
    <row r="40">
      <c r="A40" s="3" t="inlineStr">
        <is>
          <t>Nášlap na bednu</t>
        </is>
      </c>
      <c r="B40" s="3" t="inlineStr">
        <is>
          <t>Step-up</t>
        </is>
      </c>
      <c r="C40" s="3" t="inlineStr">
        <is>
          <t>nohy</t>
        </is>
      </c>
      <c r="D40" s="3" t="inlineStr">
        <is>
          <t>začátečník</t>
        </is>
      </c>
      <c r="E40" s="3" t="inlineStr">
        <is>
          <t>bedna</t>
        </is>
      </c>
      <c r="F40" s="3" t="inlineStr">
        <is>
          <t>obojí</t>
        </is>
      </c>
      <c r="G40" s="3" t="inlineStr">
        <is>
          <t>Tabata, CrossFit</t>
        </is>
      </c>
      <c r="H40" s="3" t="inlineStr">
        <is>
          <t>hlavní</t>
        </is>
      </c>
      <c r="I40" s="3" t="n">
        <v>3</v>
      </c>
      <c r="J40" s="3" t="inlineStr">
        <is>
          <t>výpad</t>
        </is>
      </c>
      <c r="K40" s="3" t="n">
        <v>12</v>
      </c>
      <c r="L40" s="4" t="inlineStr">
        <is>
          <t>Došlápni celou plochou nohy a vystoupej nahoru. Střídej nohy.</t>
        </is>
      </c>
      <c r="M40" s="3" t="n"/>
      <c r="N40" s="3" t="inlineStr">
        <is>
          <t>opakování</t>
        </is>
      </c>
    </row>
    <row r="41">
      <c r="A41" s="3" t="inlineStr">
        <is>
          <t>Dřep u zdi</t>
        </is>
      </c>
      <c r="B41" s="3" t="inlineStr">
        <is>
          <t>Wall sit</t>
        </is>
      </c>
      <c r="C41" s="3" t="inlineStr">
        <is>
          <t>nohy</t>
        </is>
      </c>
      <c r="D41" s="3" t="inlineStr">
        <is>
          <t>začátečník</t>
        </is>
      </c>
      <c r="E41" s="3" t="inlineStr">
        <is>
          <t>vlastní váha</t>
        </is>
      </c>
      <c r="F41" s="3" t="inlineStr">
        <is>
          <t>obojí</t>
        </is>
      </c>
      <c r="G41" s="3" t="inlineStr">
        <is>
          <t>Tabata, CrossFit</t>
        </is>
      </c>
      <c r="H41" s="3" t="inlineStr">
        <is>
          <t>hlavní</t>
        </is>
      </c>
      <c r="I41" s="3" t="n">
        <v>4</v>
      </c>
      <c r="J41" s="3" t="inlineStr">
        <is>
          <t>dřep</t>
        </is>
      </c>
      <c r="K41" s="3" t="n">
        <v>30</v>
      </c>
      <c r="L41" s="4" t="inlineStr">
        <is>
          <t>Opři se zády o zeď, kolena v 90°. Vydrž.</t>
        </is>
      </c>
      <c r="M41" s="3" t="n"/>
      <c r="N41" s="3" t="inlineStr">
        <is>
          <t>sekundy</t>
        </is>
      </c>
    </row>
    <row r="42">
      <c r="A42" s="3" t="inlineStr">
        <is>
          <t>Bruslař</t>
        </is>
      </c>
      <c r="B42" s="3" t="inlineStr">
        <is>
          <t>Skater jump</t>
        </is>
      </c>
      <c r="C42" s="3" t="inlineStr">
        <is>
          <t>nohy</t>
        </is>
      </c>
      <c r="D42" s="3" t="inlineStr">
        <is>
          <t>pokročilý</t>
        </is>
      </c>
      <c r="E42" s="3" t="inlineStr">
        <is>
          <t>vlastní váha</t>
        </is>
      </c>
      <c r="F42" s="3" t="inlineStr">
        <is>
          <t>obojí</t>
        </is>
      </c>
      <c r="G42" s="3" t="inlineStr">
        <is>
          <t>Tabata</t>
        </is>
      </c>
      <c r="H42" s="3" t="inlineStr">
        <is>
          <t>hlavní</t>
        </is>
      </c>
      <c r="I42" s="3" t="n">
        <v>2</v>
      </c>
      <c r="J42" s="3" t="inlineStr">
        <is>
          <t>skok</t>
        </is>
      </c>
      <c r="K42" s="3" t="n">
        <v>20</v>
      </c>
      <c r="L42" s="4" t="inlineStr">
        <is>
          <t>Skákej do stran z nohy na nohu. Dopadni na jednu a vyvaž.</t>
        </is>
      </c>
      <c r="M42" s="3" t="n"/>
      <c r="N42" s="3" t="inlineStr">
        <is>
          <t>opakování</t>
        </is>
      </c>
    </row>
    <row r="43">
      <c r="A43" s="3" t="inlineStr">
        <is>
          <t>Výpony na špičky</t>
        </is>
      </c>
      <c r="B43" s="3" t="inlineStr">
        <is>
          <t>Calf raise</t>
        </is>
      </c>
      <c r="C43" s="3" t="inlineStr">
        <is>
          <t>nohy</t>
        </is>
      </c>
      <c r="D43" s="3" t="inlineStr">
        <is>
          <t>začátečník</t>
        </is>
      </c>
      <c r="E43" s="3" t="inlineStr">
        <is>
          <t>vlastní váha</t>
        </is>
      </c>
      <c r="F43" s="3" t="inlineStr">
        <is>
          <t>obojí</t>
        </is>
      </c>
      <c r="G43" s="3" t="inlineStr">
        <is>
          <t>Tabata, TRX, CrossFit</t>
        </is>
      </c>
      <c r="H43" s="3" t="inlineStr">
        <is>
          <t>hlavní</t>
        </is>
      </c>
      <c r="I43" s="3" t="n">
        <v>4</v>
      </c>
      <c r="J43" s="3" t="inlineStr">
        <is>
          <t>jiné</t>
        </is>
      </c>
      <c r="K43" s="3" t="n">
        <v>20</v>
      </c>
      <c r="L43" s="4" t="inlineStr">
        <is>
          <t>Zvedni se na špičky, nahoře drž 1 s. Pomalu dolů.</t>
        </is>
      </c>
      <c r="M43" s="3" t="n"/>
      <c r="N43" s="3" t="inlineStr">
        <is>
          <t>opakování</t>
        </is>
      </c>
    </row>
    <row r="44">
      <c r="A44" s="3" t="inlineStr">
        <is>
          <t>TRX zanožení v lehu</t>
        </is>
      </c>
      <c r="B44" s="3" t="inlineStr">
        <is>
          <t>TRX hamstring curl</t>
        </is>
      </c>
      <c r="C44" s="3" t="inlineStr">
        <is>
          <t>nohy</t>
        </is>
      </c>
      <c r="D44" s="3" t="inlineStr">
        <is>
          <t>pokročilý</t>
        </is>
      </c>
      <c r="E44" s="3" t="inlineStr">
        <is>
          <t>TRX</t>
        </is>
      </c>
      <c r="F44" s="3" t="inlineStr">
        <is>
          <t>obojí</t>
        </is>
      </c>
      <c r="G44" s="3" t="inlineStr">
        <is>
          <t>TRX</t>
        </is>
      </c>
      <c r="H44" s="3" t="inlineStr">
        <is>
          <t>hlavní</t>
        </is>
      </c>
      <c r="I44" s="3" t="n">
        <v>4</v>
      </c>
      <c r="J44" s="3" t="inlineStr">
        <is>
          <t>záklon/předklon</t>
        </is>
      </c>
      <c r="K44" s="3" t="n">
        <v>10</v>
      </c>
      <c r="L44" s="4" t="inlineStr">
        <is>
          <t>Paty v madlech, zvedni pánev a přitáhni paty k hýždím. Tělo v linii.</t>
        </is>
      </c>
      <c r="M44" s="3" t="n"/>
      <c r="N44" s="3" t="inlineStr">
        <is>
          <t>opakování</t>
        </is>
      </c>
    </row>
    <row r="45">
      <c r="A45" s="3" t="inlineStr">
        <is>
          <t>Dřep na jedné noze s TRX</t>
        </is>
      </c>
      <c r="B45" s="3" t="inlineStr">
        <is>
          <t>TRX pistol squat</t>
        </is>
      </c>
      <c r="C45" s="3" t="inlineStr">
        <is>
          <t>nohy</t>
        </is>
      </c>
      <c r="D45" s="3" t="inlineStr">
        <is>
          <t>expert</t>
        </is>
      </c>
      <c r="E45" s="3" t="inlineStr">
        <is>
          <t>TRX</t>
        </is>
      </c>
      <c r="F45" s="3" t="inlineStr">
        <is>
          <t>obojí</t>
        </is>
      </c>
      <c r="G45" s="3" t="inlineStr">
        <is>
          <t>TRX</t>
        </is>
      </c>
      <c r="H45" s="3" t="inlineStr">
        <is>
          <t>hlavní</t>
        </is>
      </c>
      <c r="I45" s="3" t="n">
        <v>4</v>
      </c>
      <c r="J45" s="3" t="inlineStr">
        <is>
          <t>dřep</t>
        </is>
      </c>
      <c r="K45" s="3" t="n">
        <v>6</v>
      </c>
      <c r="L45" s="4" t="inlineStr">
        <is>
          <t>Drž madla, sedni na jedné noze. Druhá noha před tebou.</t>
        </is>
      </c>
      <c r="M45" s="3" t="n"/>
      <c r="N45" s="3" t="inlineStr">
        <is>
          <t>opakování</t>
        </is>
      </c>
    </row>
    <row r="46">
      <c r="A46" s="3" t="inlineStr">
        <is>
          <t>Člunkový běh</t>
        </is>
      </c>
      <c r="B46" s="3" t="inlineStr">
        <is>
          <t>Shuttle run</t>
        </is>
      </c>
      <c r="C46" s="3" t="inlineStr">
        <is>
          <t>nohy</t>
        </is>
      </c>
      <c r="D46" s="3" t="inlineStr">
        <is>
          <t>začátečník</t>
        </is>
      </c>
      <c r="E46" s="3" t="inlineStr">
        <is>
          <t>vlastní váha</t>
        </is>
      </c>
      <c r="F46" s="3" t="inlineStr">
        <is>
          <t>venku</t>
        </is>
      </c>
      <c r="G46" s="3" t="inlineStr">
        <is>
          <t>Tabata, CrossFit</t>
        </is>
      </c>
      <c r="H46" s="3" t="inlineStr">
        <is>
          <t>hlavní</t>
        </is>
      </c>
      <c r="I46" s="3" t="n">
        <v>1</v>
      </c>
      <c r="J46" s="3" t="inlineStr">
        <is>
          <t>jiné</t>
        </is>
      </c>
      <c r="K46" s="3" t="n">
        <v>20</v>
      </c>
      <c r="L46" s="4" t="inlineStr">
        <is>
          <t>Sprintuj 10 m, otoč se a zpět. Nízká poloha při otočce.</t>
        </is>
      </c>
      <c r="M46" s="3" t="n"/>
      <c r="N46" s="3" t="inlineStr">
        <is>
          <t>metry</t>
        </is>
      </c>
    </row>
    <row r="47">
      <c r="A47" s="3" t="inlineStr">
        <is>
          <t>Sprint do kopce</t>
        </is>
      </c>
      <c r="B47" s="3" t="inlineStr">
        <is>
          <t>Hill sprint</t>
        </is>
      </c>
      <c r="C47" s="3" t="inlineStr">
        <is>
          <t>nohy</t>
        </is>
      </c>
      <c r="D47" s="3" t="inlineStr">
        <is>
          <t>pokročilý</t>
        </is>
      </c>
      <c r="E47" s="3" t="inlineStr">
        <is>
          <t>vlastní váha</t>
        </is>
      </c>
      <c r="F47" s="3" t="inlineStr">
        <is>
          <t>venku</t>
        </is>
      </c>
      <c r="G47" s="3" t="inlineStr">
        <is>
          <t>Tabata, CrossFit</t>
        </is>
      </c>
      <c r="H47" s="3" t="inlineStr">
        <is>
          <t>hlavní</t>
        </is>
      </c>
      <c r="I47" s="3" t="n">
        <v>2</v>
      </c>
      <c r="J47" s="3" t="inlineStr">
        <is>
          <t>jiné</t>
        </is>
      </c>
      <c r="K47" s="3" t="n">
        <v>30</v>
      </c>
      <c r="L47" s="4" t="inlineStr">
        <is>
          <t>Vyběhni kopec naplno. Sestup pomalu.</t>
        </is>
      </c>
      <c r="M47" s="3" t="n"/>
      <c r="N47" s="3" t="inlineStr">
        <is>
          <t>metry</t>
        </is>
      </c>
    </row>
    <row r="48">
      <c r="A48" s="3" t="inlineStr">
        <is>
          <t>TRX veslování</t>
        </is>
      </c>
      <c r="B48" s="3" t="inlineStr">
        <is>
          <t>TRX row</t>
        </is>
      </c>
      <c r="C48" s="3" t="inlineStr">
        <is>
          <t>záda</t>
        </is>
      </c>
      <c r="D48" s="3" t="inlineStr">
        <is>
          <t>začátečník</t>
        </is>
      </c>
      <c r="E48" s="3" t="inlineStr">
        <is>
          <t>TRX</t>
        </is>
      </c>
      <c r="F48" s="3" t="inlineStr">
        <is>
          <t>obojí</t>
        </is>
      </c>
      <c r="G48" s="3" t="inlineStr">
        <is>
          <t>TRX</t>
        </is>
      </c>
      <c r="H48" s="3" t="inlineStr">
        <is>
          <t>hlavní</t>
        </is>
      </c>
      <c r="I48" s="3" t="n">
        <v>4</v>
      </c>
      <c r="J48" s="3" t="inlineStr">
        <is>
          <t>tah</t>
        </is>
      </c>
      <c r="K48" s="3" t="n">
        <v>12</v>
      </c>
      <c r="L48" s="4" t="inlineStr">
        <is>
          <t>Drž madla, nakloň se dozadu, přitáhni hrudník k madlům. Tělo v jedné linii.</t>
        </is>
      </c>
      <c r="M48" s="3" t="n"/>
      <c r="N48" s="3" t="inlineStr">
        <is>
          <t>opakování</t>
        </is>
      </c>
    </row>
    <row r="49">
      <c r="A49" s="3" t="inlineStr">
        <is>
          <t>TRX veslování na jedné ruce</t>
        </is>
      </c>
      <c r="B49" s="3" t="inlineStr">
        <is>
          <t>TRX single-arm row</t>
        </is>
      </c>
      <c r="C49" s="3" t="inlineStr">
        <is>
          <t>záda</t>
        </is>
      </c>
      <c r="D49" s="3" t="inlineStr">
        <is>
          <t>expert</t>
        </is>
      </c>
      <c r="E49" s="3" t="inlineStr">
        <is>
          <t>TRX</t>
        </is>
      </c>
      <c r="F49" s="3" t="inlineStr">
        <is>
          <t>obojí</t>
        </is>
      </c>
      <c r="G49" s="3" t="inlineStr">
        <is>
          <t>TRX</t>
        </is>
      </c>
      <c r="H49" s="3" t="inlineStr">
        <is>
          <t>hlavní</t>
        </is>
      </c>
      <c r="I49" s="3" t="n">
        <v>4</v>
      </c>
      <c r="J49" s="3" t="inlineStr">
        <is>
          <t>tah</t>
        </is>
      </c>
      <c r="K49" s="3" t="n">
        <v>8</v>
      </c>
      <c r="L49" s="4" t="inlineStr">
        <is>
          <t>Jedno madlo, přitáhni a nerotuj trupem. Vyměň ruku.</t>
        </is>
      </c>
      <c r="M49" s="3" t="n"/>
      <c r="N49" s="3" t="inlineStr">
        <is>
          <t>opakování</t>
        </is>
      </c>
    </row>
    <row r="50">
      <c r="A50" s="3" t="inlineStr">
        <is>
          <t>TRX veslování s nízkou polohou</t>
        </is>
      </c>
      <c r="B50" s="3" t="inlineStr">
        <is>
          <t>TRX low row</t>
        </is>
      </c>
      <c r="C50" s="3" t="inlineStr">
        <is>
          <t>záda</t>
        </is>
      </c>
      <c r="D50" s="3" t="inlineStr">
        <is>
          <t>pokročilý</t>
        </is>
      </c>
      <c r="E50" s="3" t="inlineStr">
        <is>
          <t>TRX</t>
        </is>
      </c>
      <c r="F50" s="3" t="inlineStr">
        <is>
          <t>obojí</t>
        </is>
      </c>
      <c r="G50" s="3" t="inlineStr">
        <is>
          <t>TRX</t>
        </is>
      </c>
      <c r="H50" s="3" t="inlineStr">
        <is>
          <t>hlavní</t>
        </is>
      </c>
      <c r="I50" s="3" t="n">
        <v>4</v>
      </c>
      <c r="J50" s="3" t="inlineStr">
        <is>
          <t>tah</t>
        </is>
      </c>
      <c r="K50" s="3" t="n">
        <v>10</v>
      </c>
      <c r="L50" s="4" t="inlineStr">
        <is>
          <t>Nohy dopředu, tělo téměř vodorovně. Přitáhni lopatky k sobě.</t>
        </is>
      </c>
      <c r="M50" s="3" t="n"/>
      <c r="N50" s="3" t="inlineStr">
        <is>
          <t>opakování</t>
        </is>
      </c>
    </row>
    <row r="51">
      <c r="A51" s="3" t="inlineStr">
        <is>
          <t>Supermani</t>
        </is>
      </c>
      <c r="B51" s="3" t="inlineStr">
        <is>
          <t>Superman</t>
        </is>
      </c>
      <c r="C51" s="3" t="inlineStr">
        <is>
          <t>záda</t>
        </is>
      </c>
      <c r="D51" s="3" t="inlineStr">
        <is>
          <t>začátečník</t>
        </is>
      </c>
      <c r="E51" s="3" t="inlineStr">
        <is>
          <t>vlastní váha</t>
        </is>
      </c>
      <c r="F51" s="3" t="inlineStr">
        <is>
          <t>obojí</t>
        </is>
      </c>
      <c r="G51" s="3" t="inlineStr">
        <is>
          <t>Tabata, TRX, CrossFit</t>
        </is>
      </c>
      <c r="H51" s="3" t="inlineStr">
        <is>
          <t>hlavní</t>
        </is>
      </c>
      <c r="I51" s="3" t="n">
        <v>3</v>
      </c>
      <c r="J51" s="3" t="inlineStr">
        <is>
          <t>záklon/předklon</t>
        </is>
      </c>
      <c r="K51" s="3" t="n">
        <v>15</v>
      </c>
      <c r="L51" s="4" t="inlineStr">
        <is>
          <t>Vleže na břiše zvedni paže a nohy. Nahoře 1 s drž.</t>
        </is>
      </c>
      <c r="M51" s="3" t="n"/>
      <c r="N51" s="3" t="inlineStr">
        <is>
          <t>opakování</t>
        </is>
      </c>
    </row>
    <row r="52">
      <c r="A52" s="3" t="inlineStr">
        <is>
          <t>Přítahy na hrazdě</t>
        </is>
      </c>
      <c r="B52" s="3" t="inlineStr">
        <is>
          <t>Pull-up</t>
        </is>
      </c>
      <c r="C52" s="3" t="inlineStr">
        <is>
          <t>záda</t>
        </is>
      </c>
      <c r="D52" s="3" t="inlineStr">
        <is>
          <t>expert</t>
        </is>
      </c>
      <c r="E52" s="3" t="inlineStr">
        <is>
          <t>hrazda</t>
        </is>
      </c>
      <c r="F52" s="3" t="inlineStr">
        <is>
          <t>uvnitř</t>
        </is>
      </c>
      <c r="G52" s="3" t="inlineStr">
        <is>
          <t>CrossFit</t>
        </is>
      </c>
      <c r="H52" s="3" t="inlineStr">
        <is>
          <t>hlavní</t>
        </is>
      </c>
      <c r="I52" s="3" t="n">
        <v>5</v>
      </c>
      <c r="J52" s="3" t="inlineStr">
        <is>
          <t>tah</t>
        </is>
      </c>
      <c r="K52" s="3" t="n">
        <v>8</v>
      </c>
      <c r="L52" s="4" t="inlineStr">
        <is>
          <t>Zavěs se nadhmatem a přitáhni bradu nad hrazdu. Dolů pomalu.</t>
        </is>
      </c>
      <c r="M52" s="3" t="n"/>
      <c r="N52" s="3" t="inlineStr">
        <is>
          <t>opakování</t>
        </is>
      </c>
    </row>
    <row r="53">
      <c r="A53" s="3" t="inlineStr">
        <is>
          <t>Australské přítahy</t>
        </is>
      </c>
      <c r="B53" s="3" t="inlineStr">
        <is>
          <t>Inverted row</t>
        </is>
      </c>
      <c r="C53" s="3" t="inlineStr">
        <is>
          <t>záda</t>
        </is>
      </c>
      <c r="D53" s="3" t="inlineStr">
        <is>
          <t>pokročilý</t>
        </is>
      </c>
      <c r="E53" s="3" t="inlineStr">
        <is>
          <t>hrazda</t>
        </is>
      </c>
      <c r="F53" s="3" t="inlineStr">
        <is>
          <t>uvnitř</t>
        </is>
      </c>
      <c r="G53" s="3" t="inlineStr">
        <is>
          <t>CrossFit</t>
        </is>
      </c>
      <c r="H53" s="3" t="inlineStr">
        <is>
          <t>hlavní</t>
        </is>
      </c>
      <c r="I53" s="3" t="n">
        <v>4</v>
      </c>
      <c r="J53" s="3" t="inlineStr">
        <is>
          <t>tah</t>
        </is>
      </c>
      <c r="K53" s="3" t="n">
        <v>10</v>
      </c>
      <c r="L53" s="4" t="inlineStr">
        <is>
          <t>Pod nízkou hrazdou přitáhni hrudník k tyči. Tělo rovné.</t>
        </is>
      </c>
      <c r="M53" s="3" t="n"/>
      <c r="N53" s="3" t="inlineStr">
        <is>
          <t>opakování</t>
        </is>
      </c>
    </row>
    <row r="54">
      <c r="A54" s="3" t="inlineStr">
        <is>
          <t>Veslování s činkou v předklonu</t>
        </is>
      </c>
      <c r="B54" s="3" t="inlineStr">
        <is>
          <t>Bent-over dumbbell row</t>
        </is>
      </c>
      <c r="C54" s="3" t="inlineStr">
        <is>
          <t>záda</t>
        </is>
      </c>
      <c r="D54" s="3" t="inlineStr">
        <is>
          <t>pokročilý</t>
        </is>
      </c>
      <c r="E54" s="3" t="inlineStr">
        <is>
          <t>činky</t>
        </is>
      </c>
      <c r="F54" s="3" t="inlineStr">
        <is>
          <t>obojí</t>
        </is>
      </c>
      <c r="G54" s="3" t="inlineStr">
        <is>
          <t>CrossFit</t>
        </is>
      </c>
      <c r="H54" s="3" t="inlineStr">
        <is>
          <t>hlavní</t>
        </is>
      </c>
      <c r="I54" s="3" t="n">
        <v>4</v>
      </c>
      <c r="J54" s="3" t="inlineStr">
        <is>
          <t>tah</t>
        </is>
      </c>
      <c r="K54" s="3" t="n">
        <v>12</v>
      </c>
      <c r="L54" s="4" t="inlineStr">
        <is>
          <t>V předklonu přitáhni činky k pasu. Záda rovná.</t>
        </is>
      </c>
      <c r="M54" s="3" t="n"/>
      <c r="N54" s="3" t="inlineStr">
        <is>
          <t>opakování</t>
        </is>
      </c>
    </row>
    <row r="55">
      <c r="A55" s="3" t="inlineStr">
        <is>
          <t>Veslování s gumou</t>
        </is>
      </c>
      <c r="B55" s="3" t="inlineStr">
        <is>
          <t>Band row</t>
        </is>
      </c>
      <c r="C55" s="3" t="inlineStr">
        <is>
          <t>záda</t>
        </is>
      </c>
      <c r="D55" s="3" t="inlineStr">
        <is>
          <t>začátečník</t>
        </is>
      </c>
      <c r="E55" s="3" t="inlineStr">
        <is>
          <t>odporová guma</t>
        </is>
      </c>
      <c r="F55" s="3" t="inlineStr">
        <is>
          <t>obojí</t>
        </is>
      </c>
      <c r="G55" s="3" t="inlineStr">
        <is>
          <t>Tabata, TRX, CrossFit</t>
        </is>
      </c>
      <c r="H55" s="3" t="inlineStr">
        <is>
          <t>hlavní</t>
        </is>
      </c>
      <c r="I55" s="3" t="n">
        <v>3</v>
      </c>
      <c r="J55" s="3" t="inlineStr">
        <is>
          <t>tah</t>
        </is>
      </c>
      <c r="K55" s="3" t="n">
        <v>15</v>
      </c>
      <c r="L55" s="4" t="inlineStr">
        <is>
          <t>Gumu upevni před sebou, přitáhni lokty za záda. Lopatky stáhni.</t>
        </is>
      </c>
      <c r="M55" s="3" t="n"/>
      <c r="N55" s="3" t="inlineStr">
        <is>
          <t>opakování</t>
        </is>
      </c>
    </row>
    <row r="56">
      <c r="A56" s="3" t="inlineStr">
        <is>
          <t>TRX předklon se zvedáním paží (T)</t>
        </is>
      </c>
      <c r="B56" s="3" t="inlineStr">
        <is>
          <t>TRX reverse fly</t>
        </is>
      </c>
      <c r="C56" s="3" t="inlineStr">
        <is>
          <t>záda</t>
        </is>
      </c>
      <c r="D56" s="3" t="inlineStr">
        <is>
          <t>začátečník</t>
        </is>
      </c>
      <c r="E56" s="3" t="inlineStr">
        <is>
          <t>TRX</t>
        </is>
      </c>
      <c r="F56" s="3" t="inlineStr">
        <is>
          <t>obojí</t>
        </is>
      </c>
      <c r="G56" s="3" t="inlineStr">
        <is>
          <t>TRX</t>
        </is>
      </c>
      <c r="H56" s="3" t="inlineStr">
        <is>
          <t>hlavní</t>
        </is>
      </c>
      <c r="I56" s="3" t="n">
        <v>3</v>
      </c>
      <c r="J56" s="3" t="inlineStr">
        <is>
          <t>tah</t>
        </is>
      </c>
      <c r="K56" s="3" t="n">
        <v>12</v>
      </c>
      <c r="L56" s="4" t="inlineStr">
        <is>
          <t>Drž madla, paže rozpaž do stran. Tělo v předklonu v linii.</t>
        </is>
      </c>
      <c r="M56" s="3" t="n"/>
      <c r="N56" s="3" t="inlineStr">
        <is>
          <t>opakování</t>
        </is>
      </c>
    </row>
    <row r="57">
      <c r="A57" s="3" t="inlineStr">
        <is>
          <t>Prkno</t>
        </is>
      </c>
      <c r="B57" s="3" t="inlineStr">
        <is>
          <t>Plank</t>
        </is>
      </c>
      <c r="C57" s="3" t="inlineStr">
        <is>
          <t>core</t>
        </is>
      </c>
      <c r="D57" s="3" t="inlineStr">
        <is>
          <t>začátečník</t>
        </is>
      </c>
      <c r="E57" s="3" t="inlineStr">
        <is>
          <t>vlastní váha</t>
        </is>
      </c>
      <c r="F57" s="3" t="inlineStr">
        <is>
          <t>obojí</t>
        </is>
      </c>
      <c r="G57" s="3" t="inlineStr">
        <is>
          <t>Tabata, TRX, CrossFit</t>
        </is>
      </c>
      <c r="H57" s="3" t="inlineStr">
        <is>
          <t>hlavní</t>
        </is>
      </c>
      <c r="I57" s="3" t="n">
        <v>3</v>
      </c>
      <c r="J57" s="3" t="inlineStr">
        <is>
          <t>jiné</t>
        </is>
      </c>
      <c r="K57" s="3" t="n">
        <v>30</v>
      </c>
      <c r="L57" s="4" t="inlineStr">
        <is>
          <t>Opři se o předloktí a špičky. Tělo v rovné linii.</t>
        </is>
      </c>
      <c r="M57" s="3" t="n"/>
      <c r="N57" s="3" t="inlineStr">
        <is>
          <t>sekundy</t>
        </is>
      </c>
    </row>
    <row r="58">
      <c r="A58" s="3" t="inlineStr">
        <is>
          <t>TRX prkno</t>
        </is>
      </c>
      <c r="B58" s="3" t="inlineStr">
        <is>
          <t>TRX plank</t>
        </is>
      </c>
      <c r="C58" s="3" t="inlineStr">
        <is>
          <t>core</t>
        </is>
      </c>
      <c r="D58" s="3" t="inlineStr">
        <is>
          <t>pokročilý</t>
        </is>
      </c>
      <c r="E58" s="3" t="inlineStr">
        <is>
          <t>TRX</t>
        </is>
      </c>
      <c r="F58" s="3" t="inlineStr">
        <is>
          <t>obojí</t>
        </is>
      </c>
      <c r="G58" s="3" t="inlineStr">
        <is>
          <t>TRX</t>
        </is>
      </c>
      <c r="H58" s="3" t="inlineStr">
        <is>
          <t>hlavní</t>
        </is>
      </c>
      <c r="I58" s="3" t="n">
        <v>3</v>
      </c>
      <c r="J58" s="3" t="inlineStr">
        <is>
          <t>jiné</t>
        </is>
      </c>
      <c r="K58" s="3" t="n">
        <v>30</v>
      </c>
      <c r="L58" s="4" t="inlineStr">
        <is>
          <t>Nohy v madlech, ve vzporu na předloktí. Tělo v linii.</t>
        </is>
      </c>
      <c r="M58" s="3" t="n"/>
      <c r="N58" s="3" t="inlineStr">
        <is>
          <t>sekundy</t>
        </is>
      </c>
    </row>
    <row r="59">
      <c r="A59" s="3" t="inlineStr">
        <is>
          <t>TRX pila</t>
        </is>
      </c>
      <c r="B59" s="3" t="inlineStr">
        <is>
          <t>TRX body saw</t>
        </is>
      </c>
      <c r="C59" s="3" t="inlineStr">
        <is>
          <t>core</t>
        </is>
      </c>
      <c r="D59" s="3" t="inlineStr">
        <is>
          <t>expert</t>
        </is>
      </c>
      <c r="E59" s="3" t="inlineStr">
        <is>
          <t>TRX</t>
        </is>
      </c>
      <c r="F59" s="3" t="inlineStr">
        <is>
          <t>obojí</t>
        </is>
      </c>
      <c r="G59" s="3" t="inlineStr">
        <is>
          <t>TRX</t>
        </is>
      </c>
      <c r="H59" s="3" t="inlineStr">
        <is>
          <t>hlavní</t>
        </is>
      </c>
      <c r="I59" s="3" t="n">
        <v>4</v>
      </c>
      <c r="J59" s="3" t="inlineStr">
        <is>
          <t>jiné</t>
        </is>
      </c>
      <c r="K59" s="3" t="n">
        <v>10</v>
      </c>
      <c r="L59" s="4" t="inlineStr">
        <is>
          <t>Nohy v madlech, předloktí na zemi. Posunuj tělo vpřed a vzad.</t>
        </is>
      </c>
      <c r="M59" s="3" t="n"/>
      <c r="N59" s="3" t="inlineStr">
        <is>
          <t>opakování</t>
        </is>
      </c>
    </row>
    <row r="60">
      <c r="A60" s="3" t="inlineStr">
        <is>
          <t>TRX přitahování kolen</t>
        </is>
      </c>
      <c r="B60" s="3" t="inlineStr">
        <is>
          <t>TRX knee tuck</t>
        </is>
      </c>
      <c r="C60" s="3" t="inlineStr">
        <is>
          <t>core</t>
        </is>
      </c>
      <c r="D60" s="3" t="inlineStr">
        <is>
          <t>pokročilý</t>
        </is>
      </c>
      <c r="E60" s="3" t="inlineStr">
        <is>
          <t>TRX</t>
        </is>
      </c>
      <c r="F60" s="3" t="inlineStr">
        <is>
          <t>obojí</t>
        </is>
      </c>
      <c r="G60" s="3" t="inlineStr">
        <is>
          <t>TRX</t>
        </is>
      </c>
      <c r="H60" s="3" t="inlineStr">
        <is>
          <t>hlavní</t>
        </is>
      </c>
      <c r="I60" s="3" t="n">
        <v>3</v>
      </c>
      <c r="J60" s="3" t="inlineStr">
        <is>
          <t>jiné</t>
        </is>
      </c>
      <c r="K60" s="3" t="n">
        <v>12</v>
      </c>
      <c r="L60" s="4" t="inlineStr">
        <is>
          <t>Nohy v madlech ve vzporu, přitáhni kolena k hrudi. Zpět pomalu.</t>
        </is>
      </c>
      <c r="M60" s="3" t="n"/>
      <c r="N60" s="3" t="inlineStr">
        <is>
          <t>opakování</t>
        </is>
      </c>
    </row>
    <row r="61">
      <c r="A61" s="3" t="inlineStr">
        <is>
          <t>TRX horolezec</t>
        </is>
      </c>
      <c r="B61" s="3" t="inlineStr">
        <is>
          <t>TRX mountain climber</t>
        </is>
      </c>
      <c r="C61" s="3" t="inlineStr">
        <is>
          <t>core</t>
        </is>
      </c>
      <c r="D61" s="3" t="inlineStr">
        <is>
          <t>pokročilý</t>
        </is>
      </c>
      <c r="E61" s="3" t="inlineStr">
        <is>
          <t>TRX</t>
        </is>
      </c>
      <c r="F61" s="3" t="inlineStr">
        <is>
          <t>obojí</t>
        </is>
      </c>
      <c r="G61" s="3" t="inlineStr">
        <is>
          <t>Tabata, TRX</t>
        </is>
      </c>
      <c r="H61" s="3" t="inlineStr">
        <is>
          <t>hlavní</t>
        </is>
      </c>
      <c r="I61" s="3" t="n">
        <v>2</v>
      </c>
      <c r="J61" s="3" t="inlineStr">
        <is>
          <t>jiné</t>
        </is>
      </c>
      <c r="K61" s="3" t="n">
        <v>20</v>
      </c>
      <c r="L61" s="4" t="inlineStr">
        <is>
          <t>Nohy v madlech ve vzporu, střídavě přitahuj kolena. Pánev nezvedej.</t>
        </is>
      </c>
      <c r="M61" s="3" t="n"/>
      <c r="N61" s="3" t="inlineStr">
        <is>
          <t>opakování</t>
        </is>
      </c>
    </row>
    <row r="62">
      <c r="A62" s="3" t="inlineStr">
        <is>
          <t>Horolezec</t>
        </is>
      </c>
      <c r="B62" s="3" t="inlineStr">
        <is>
          <t>Mountain climber</t>
        </is>
      </c>
      <c r="C62" s="3" t="inlineStr">
        <is>
          <t>core</t>
        </is>
      </c>
      <c r="D62" s="3" t="inlineStr">
        <is>
          <t>začátečník</t>
        </is>
      </c>
      <c r="E62" s="3" t="inlineStr">
        <is>
          <t>vlastní váha</t>
        </is>
      </c>
      <c r="F62" s="3" t="inlineStr">
        <is>
          <t>obojí</t>
        </is>
      </c>
      <c r="G62" s="3" t="inlineStr">
        <is>
          <t>Tabata, CrossFit</t>
        </is>
      </c>
      <c r="H62" s="3" t="inlineStr">
        <is>
          <t>hlavní</t>
        </is>
      </c>
      <c r="I62" s="3" t="n">
        <v>2</v>
      </c>
      <c r="J62" s="3" t="inlineStr">
        <is>
          <t>jiné</t>
        </is>
      </c>
      <c r="K62" s="3" t="n">
        <v>30</v>
      </c>
      <c r="L62" s="4" t="inlineStr">
        <is>
          <t>Ve vzporu střídavě přitahuj kolena k hrudi. Rychle, záda rovná.</t>
        </is>
      </c>
      <c r="M62" s="3" t="n"/>
      <c r="N62" s="3" t="inlineStr">
        <is>
          <t>opakování</t>
        </is>
      </c>
    </row>
    <row r="63">
      <c r="A63" s="3" t="inlineStr">
        <is>
          <t>Sed-leh</t>
        </is>
      </c>
      <c r="B63" s="3" t="inlineStr">
        <is>
          <t>Sit-up</t>
        </is>
      </c>
      <c r="C63" s="3" t="inlineStr">
        <is>
          <t>core</t>
        </is>
      </c>
      <c r="D63" s="3" t="inlineStr">
        <is>
          <t>začátečník</t>
        </is>
      </c>
      <c r="E63" s="3" t="inlineStr">
        <is>
          <t>vlastní váha</t>
        </is>
      </c>
      <c r="F63" s="3" t="inlineStr">
        <is>
          <t>obojí</t>
        </is>
      </c>
      <c r="G63" s="3" t="inlineStr">
        <is>
          <t>Tabata, CrossFit</t>
        </is>
      </c>
      <c r="H63" s="3" t="inlineStr">
        <is>
          <t>hlavní</t>
        </is>
      </c>
      <c r="I63" s="3" t="n">
        <v>3</v>
      </c>
      <c r="J63" s="3" t="inlineStr">
        <is>
          <t>jiné</t>
        </is>
      </c>
      <c r="K63" s="3" t="n">
        <v>20</v>
      </c>
      <c r="L63" s="4" t="inlineStr">
        <is>
          <t>Vleže s pokrčenými koleny zvedni trup k nohám. Pomalu zpět.</t>
        </is>
      </c>
      <c r="M63" s="3" t="n"/>
      <c r="N63" s="3" t="inlineStr">
        <is>
          <t>opakování</t>
        </is>
      </c>
    </row>
    <row r="64">
      <c r="A64" s="3" t="inlineStr">
        <is>
          <t>Ruské twisty</t>
        </is>
      </c>
      <c r="B64" s="3" t="inlineStr">
        <is>
          <t>Russian twist</t>
        </is>
      </c>
      <c r="C64" s="3" t="inlineStr">
        <is>
          <t>core</t>
        </is>
      </c>
      <c r="D64" s="3" t="inlineStr">
        <is>
          <t>pokročilý</t>
        </is>
      </c>
      <c r="E64" s="3" t="inlineStr">
        <is>
          <t>medicinbal</t>
        </is>
      </c>
      <c r="F64" s="3" t="inlineStr">
        <is>
          <t>obojí</t>
        </is>
      </c>
      <c r="G64" s="3" t="inlineStr">
        <is>
          <t>Tabata, CrossFit</t>
        </is>
      </c>
      <c r="H64" s="3" t="inlineStr">
        <is>
          <t>hlavní</t>
        </is>
      </c>
      <c r="I64" s="3" t="n">
        <v>3</v>
      </c>
      <c r="J64" s="3" t="inlineStr">
        <is>
          <t>rotace</t>
        </is>
      </c>
      <c r="K64" s="3" t="n">
        <v>20</v>
      </c>
      <c r="L64" s="4" t="inlineStr">
        <is>
          <t>V sedu s nohama od země otáčej míč ze strany na stranu. Záda rovná.</t>
        </is>
      </c>
      <c r="M64" s="3" t="n"/>
      <c r="N64" s="3" t="inlineStr">
        <is>
          <t>opakování</t>
        </is>
      </c>
    </row>
    <row r="65">
      <c r="A65" s="3" t="inlineStr">
        <is>
          <t>Zdvih nohou ve visu k hrazdě</t>
        </is>
      </c>
      <c r="B65" s="3" t="inlineStr">
        <is>
          <t>Toes to bar</t>
        </is>
      </c>
      <c r="C65" s="3" t="inlineStr">
        <is>
          <t>core</t>
        </is>
      </c>
      <c r="D65" s="3" t="inlineStr">
        <is>
          <t>expert</t>
        </is>
      </c>
      <c r="E65" s="3" t="inlineStr">
        <is>
          <t>hrazda</t>
        </is>
      </c>
      <c r="F65" s="3" t="inlineStr">
        <is>
          <t>uvnitř</t>
        </is>
      </c>
      <c r="G65" s="3" t="inlineStr">
        <is>
          <t>CrossFit</t>
        </is>
      </c>
      <c r="H65" s="3" t="inlineStr">
        <is>
          <t>hlavní</t>
        </is>
      </c>
      <c r="I65" s="3" t="n">
        <v>4</v>
      </c>
      <c r="J65" s="3" t="inlineStr">
        <is>
          <t>jiné</t>
        </is>
      </c>
      <c r="K65" s="3" t="n">
        <v>10</v>
      </c>
      <c r="L65" s="4" t="inlineStr">
        <is>
          <t>Ve visu zvedni nohy až k hrazdě. Nekývej se.</t>
        </is>
      </c>
      <c r="M65" s="3" t="n"/>
      <c r="N65" s="3" t="inlineStr">
        <is>
          <t>opakování</t>
        </is>
      </c>
    </row>
    <row r="66">
      <c r="A66" s="3" t="inlineStr">
        <is>
          <t>Boční prkno</t>
        </is>
      </c>
      <c r="B66" s="3" t="inlineStr">
        <is>
          <t>Side plank</t>
        </is>
      </c>
      <c r="C66" s="3" t="inlineStr">
        <is>
          <t>core</t>
        </is>
      </c>
      <c r="D66" s="3" t="inlineStr">
        <is>
          <t>začátečník</t>
        </is>
      </c>
      <c r="E66" s="3" t="inlineStr">
        <is>
          <t>vlastní váha</t>
        </is>
      </c>
      <c r="F66" s="3" t="inlineStr">
        <is>
          <t>obojí</t>
        </is>
      </c>
      <c r="G66" s="3" t="inlineStr">
        <is>
          <t>Tabata, TRX, CrossFit</t>
        </is>
      </c>
      <c r="H66" s="3" t="inlineStr">
        <is>
          <t>hlavní</t>
        </is>
      </c>
      <c r="I66" s="3" t="n">
        <v>3</v>
      </c>
      <c r="J66" s="3" t="inlineStr">
        <is>
          <t>jiné</t>
        </is>
      </c>
      <c r="K66" s="3" t="n">
        <v>30</v>
      </c>
      <c r="L66" s="4" t="inlineStr">
        <is>
          <t>Opři se o předloktí, zvedni boky. Tělo v linii.</t>
        </is>
      </c>
      <c r="M66" s="3" t="n"/>
      <c r="N66" s="3" t="inlineStr">
        <is>
          <t>sekundy</t>
        </is>
      </c>
    </row>
    <row r="67">
      <c r="A67" s="3" t="inlineStr">
        <is>
          <t>Dutý hák</t>
        </is>
      </c>
      <c r="B67" s="3" t="inlineStr">
        <is>
          <t>Hollow hold</t>
        </is>
      </c>
      <c r="C67" s="3" t="inlineStr">
        <is>
          <t>core</t>
        </is>
      </c>
      <c r="D67" s="3" t="inlineStr">
        <is>
          <t>pokročilý</t>
        </is>
      </c>
      <c r="E67" s="3" t="inlineStr">
        <is>
          <t>vlastní váha</t>
        </is>
      </c>
      <c r="F67" s="3" t="inlineStr">
        <is>
          <t>obojí</t>
        </is>
      </c>
      <c r="G67" s="3" t="inlineStr">
        <is>
          <t>Tabata, CrossFit</t>
        </is>
      </c>
      <c r="H67" s="3" t="inlineStr">
        <is>
          <t>hlavní</t>
        </is>
      </c>
      <c r="I67" s="3" t="n">
        <v>4</v>
      </c>
      <c r="J67" s="3" t="inlineStr">
        <is>
          <t>jiné</t>
        </is>
      </c>
      <c r="K67" s="3" t="n">
        <v>30</v>
      </c>
      <c r="L67" s="4" t="inlineStr">
        <is>
          <t>Vleže zvedni ramena a nohy. Bedra přitlač k zemi.</t>
        </is>
      </c>
      <c r="M67" s="3" t="n"/>
      <c r="N67" s="3" t="inlineStr">
        <is>
          <t>sekundy</t>
        </is>
      </c>
    </row>
    <row r="68">
      <c r="A68" s="3" t="inlineStr">
        <is>
          <t>TRX pike</t>
        </is>
      </c>
      <c r="B68" s="3" t="inlineStr">
        <is>
          <t>TRX pike</t>
        </is>
      </c>
      <c r="C68" s="3" t="inlineStr">
        <is>
          <t>core</t>
        </is>
      </c>
      <c r="D68" s="3" t="inlineStr">
        <is>
          <t>expert</t>
        </is>
      </c>
      <c r="E68" s="3" t="inlineStr">
        <is>
          <t>TRX</t>
        </is>
      </c>
      <c r="F68" s="3" t="inlineStr">
        <is>
          <t>obojí</t>
        </is>
      </c>
      <c r="G68" s="3" t="inlineStr">
        <is>
          <t>TRX</t>
        </is>
      </c>
      <c r="H68" s="3" t="inlineStr">
        <is>
          <t>hlavní</t>
        </is>
      </c>
      <c r="I68" s="3" t="n">
        <v>4</v>
      </c>
      <c r="J68" s="3" t="inlineStr">
        <is>
          <t>jiné</t>
        </is>
      </c>
      <c r="K68" s="3" t="n">
        <v>8</v>
      </c>
      <c r="L68" s="4" t="inlineStr">
        <is>
          <t>Nohy v madlech ve vzporu, zvedni kyčle ke stropu. Nohy propni.</t>
        </is>
      </c>
      <c r="M68" s="3" t="n"/>
      <c r="N68" s="3" t="inlineStr">
        <is>
          <t>opakování</t>
        </is>
      </c>
    </row>
    <row r="69">
      <c r="A69" s="3" t="inlineStr">
        <is>
          <t>Klik</t>
        </is>
      </c>
      <c r="B69" s="3" t="inlineStr">
        <is>
          <t>Push-up</t>
        </is>
      </c>
      <c r="C69" s="3" t="inlineStr">
        <is>
          <t>hrudník</t>
        </is>
      </c>
      <c r="D69" s="3" t="inlineStr">
        <is>
          <t>pokročilý</t>
        </is>
      </c>
      <c r="E69" s="3" t="inlineStr">
        <is>
          <t>vlastní váha</t>
        </is>
      </c>
      <c r="F69" s="3" t="inlineStr">
        <is>
          <t>obojí</t>
        </is>
      </c>
      <c r="G69" s="3" t="inlineStr">
        <is>
          <t>Tabata, CrossFit</t>
        </is>
      </c>
      <c r="H69" s="3" t="inlineStr">
        <is>
          <t>hlavní</t>
        </is>
      </c>
      <c r="I69" s="3" t="n">
        <v>4</v>
      </c>
      <c r="J69" s="3" t="inlineStr">
        <is>
          <t>tlak</t>
        </is>
      </c>
      <c r="K69" s="3" t="n">
        <v>12</v>
      </c>
      <c r="L69" s="4" t="inlineStr">
        <is>
          <t>Dlaně pod rameny, tělo rovné, hrudník k zemi. Vytlač zpět.</t>
        </is>
      </c>
      <c r="M69" s="3" t="n"/>
      <c r="N69" s="3" t="inlineStr">
        <is>
          <t>opakování</t>
        </is>
      </c>
    </row>
    <row r="70">
      <c r="A70" s="3" t="inlineStr">
        <is>
          <t>Klik na kolenou</t>
        </is>
      </c>
      <c r="B70" s="3" t="inlineStr">
        <is>
          <t>Knee push-up</t>
        </is>
      </c>
      <c r="C70" s="3" t="inlineStr">
        <is>
          <t>hrudník</t>
        </is>
      </c>
      <c r="D70" s="3" t="inlineStr">
        <is>
          <t>začátečník</t>
        </is>
      </c>
      <c r="E70" s="3" t="inlineStr">
        <is>
          <t>vlastní váha</t>
        </is>
      </c>
      <c r="F70" s="3" t="inlineStr">
        <is>
          <t>obojí</t>
        </is>
      </c>
      <c r="G70" s="3" t="inlineStr">
        <is>
          <t>Tabata, TRX, CrossFit</t>
        </is>
      </c>
      <c r="H70" s="3" t="inlineStr">
        <is>
          <t>hlavní</t>
        </is>
      </c>
      <c r="I70" s="3" t="n">
        <v>4</v>
      </c>
      <c r="J70" s="3" t="inlineStr">
        <is>
          <t>tlak</t>
        </is>
      </c>
      <c r="K70" s="3" t="n">
        <v>12</v>
      </c>
      <c r="L70" s="4" t="inlineStr">
        <is>
          <t>Kolena na zemi, tělo rovné od kolen. Hrudník k zemi.</t>
        </is>
      </c>
      <c r="M70" s="3" t="n"/>
      <c r="N70" s="3" t="inlineStr">
        <is>
          <t>opakování</t>
        </is>
      </c>
    </row>
    <row r="71">
      <c r="A71" s="3" t="inlineStr">
        <is>
          <t>TRX klik</t>
        </is>
      </c>
      <c r="B71" s="3" t="inlineStr">
        <is>
          <t>TRX push-up</t>
        </is>
      </c>
      <c r="C71" s="3" t="inlineStr">
        <is>
          <t>hrudník</t>
        </is>
      </c>
      <c r="D71" s="3" t="inlineStr">
        <is>
          <t>pokročilý</t>
        </is>
      </c>
      <c r="E71" s="3" t="inlineStr">
        <is>
          <t>TRX</t>
        </is>
      </c>
      <c r="F71" s="3" t="inlineStr">
        <is>
          <t>obojí</t>
        </is>
      </c>
      <c r="G71" s="3" t="inlineStr">
        <is>
          <t>TRX</t>
        </is>
      </c>
      <c r="H71" s="3" t="inlineStr">
        <is>
          <t>hlavní</t>
        </is>
      </c>
      <c r="I71" s="3" t="n">
        <v>4</v>
      </c>
      <c r="J71" s="3" t="inlineStr">
        <is>
          <t>tlak</t>
        </is>
      </c>
      <c r="K71" s="3" t="n">
        <v>10</v>
      </c>
      <c r="L71" s="4" t="inlineStr">
        <is>
          <t>Ruce v madlech, tělo v linii, hrudník mezi madla. Vytlač zpět.</t>
        </is>
      </c>
      <c r="M71" s="3" t="n"/>
      <c r="N71" s="3" t="inlineStr">
        <is>
          <t>opakování</t>
        </is>
      </c>
    </row>
    <row r="72">
      <c r="A72" s="3" t="inlineStr">
        <is>
          <t>TRX rozpažení</t>
        </is>
      </c>
      <c r="B72" s="3" t="inlineStr">
        <is>
          <t>TRX chest fly</t>
        </is>
      </c>
      <c r="C72" s="3" t="inlineStr">
        <is>
          <t>hrudník</t>
        </is>
      </c>
      <c r="D72" s="3" t="inlineStr">
        <is>
          <t>pokročilý</t>
        </is>
      </c>
      <c r="E72" s="3" t="inlineStr">
        <is>
          <t>TRX</t>
        </is>
      </c>
      <c r="F72" s="3" t="inlineStr">
        <is>
          <t>obojí</t>
        </is>
      </c>
      <c r="G72" s="3" t="inlineStr">
        <is>
          <t>TRX</t>
        </is>
      </c>
      <c r="H72" s="3" t="inlineStr">
        <is>
          <t>hlavní</t>
        </is>
      </c>
      <c r="I72" s="3" t="n">
        <v>3</v>
      </c>
      <c r="J72" s="3" t="inlineStr">
        <is>
          <t>tlak</t>
        </is>
      </c>
      <c r="K72" s="3" t="n">
        <v>10</v>
      </c>
      <c r="L72" s="4" t="inlineStr">
        <is>
          <t>Paže rozpaž s mírně pokrčenými lokty. Svaly hrudníku stáhni k sobě.</t>
        </is>
      </c>
      <c r="M72" s="3" t="n"/>
      <c r="N72" s="3" t="inlineStr">
        <is>
          <t>opakování</t>
        </is>
      </c>
    </row>
    <row r="73">
      <c r="A73" s="3" t="inlineStr">
        <is>
          <t>Tlak s činkami vleže</t>
        </is>
      </c>
      <c r="B73" s="3" t="inlineStr">
        <is>
          <t>Dumbbell floor press</t>
        </is>
      </c>
      <c r="C73" s="3" t="inlineStr">
        <is>
          <t>hrudník</t>
        </is>
      </c>
      <c r="D73" s="3" t="inlineStr">
        <is>
          <t>začátečník</t>
        </is>
      </c>
      <c r="E73" s="3" t="inlineStr">
        <is>
          <t>činky</t>
        </is>
      </c>
      <c r="F73" s="3" t="inlineStr">
        <is>
          <t>obojí</t>
        </is>
      </c>
      <c r="G73" s="3" t="inlineStr">
        <is>
          <t>CrossFit</t>
        </is>
      </c>
      <c r="H73" s="3" t="inlineStr">
        <is>
          <t>hlavní</t>
        </is>
      </c>
      <c r="I73" s="3" t="n">
        <v>4</v>
      </c>
      <c r="J73" s="3" t="inlineStr">
        <is>
          <t>tlak</t>
        </is>
      </c>
      <c r="K73" s="3" t="n">
        <v>12</v>
      </c>
      <c r="L73" s="4" t="inlineStr">
        <is>
          <t>Vleže vytlač činky nad hrudník. Lokty pod 45°.</t>
        </is>
      </c>
      <c r="M73" s="3" t="n"/>
      <c r="N73" s="3" t="inlineStr">
        <is>
          <t>opakování</t>
        </is>
      </c>
    </row>
    <row r="74">
      <c r="A74" s="3" t="inlineStr">
        <is>
          <t>Klik s tleskem</t>
        </is>
      </c>
      <c r="B74" s="3" t="inlineStr">
        <is>
          <t>Clap push-up</t>
        </is>
      </c>
      <c r="C74" s="3" t="inlineStr">
        <is>
          <t>hrudník</t>
        </is>
      </c>
      <c r="D74" s="3" t="inlineStr">
        <is>
          <t>expert</t>
        </is>
      </c>
      <c r="E74" s="3" t="inlineStr">
        <is>
          <t>vlastní váha</t>
        </is>
      </c>
      <c r="F74" s="3" t="inlineStr">
        <is>
          <t>obojí</t>
        </is>
      </c>
      <c r="G74" s="3" t="inlineStr">
        <is>
          <t>Tabata, CrossFit</t>
        </is>
      </c>
      <c r="H74" s="3" t="inlineStr">
        <is>
          <t>hlavní</t>
        </is>
      </c>
      <c r="I74" s="3" t="n">
        <v>3</v>
      </c>
      <c r="J74" s="3" t="inlineStr">
        <is>
          <t>tlak</t>
        </is>
      </c>
      <c r="K74" s="3" t="n">
        <v>8</v>
      </c>
      <c r="L74" s="4" t="inlineStr">
        <is>
          <t>Odraz se z kliku a tleskni. Dopadni měkce.</t>
        </is>
      </c>
      <c r="M74" s="3" t="n"/>
      <c r="N74" s="3" t="inlineStr">
        <is>
          <t>opakování</t>
        </is>
      </c>
    </row>
    <row r="75">
      <c r="A75" s="3" t="inlineStr">
        <is>
          <t>Hod medicinbalu od hrudi</t>
        </is>
      </c>
      <c r="B75" s="3" t="inlineStr">
        <is>
          <t>Medicine ball chest pass</t>
        </is>
      </c>
      <c r="C75" s="3" t="inlineStr">
        <is>
          <t>hrudník</t>
        </is>
      </c>
      <c r="D75" s="3" t="inlineStr">
        <is>
          <t>začátečník</t>
        </is>
      </c>
      <c r="E75" s="3" t="inlineStr">
        <is>
          <t>medicinbal</t>
        </is>
      </c>
      <c r="F75" s="3" t="inlineStr">
        <is>
          <t>obojí</t>
        </is>
      </c>
      <c r="G75" s="3" t="inlineStr">
        <is>
          <t>Tabata, CrossFit</t>
        </is>
      </c>
      <c r="H75" s="3" t="inlineStr">
        <is>
          <t>hlavní</t>
        </is>
      </c>
      <c r="I75" s="3" t="n">
        <v>3</v>
      </c>
      <c r="J75" s="3" t="inlineStr">
        <is>
          <t>tlak</t>
        </is>
      </c>
      <c r="K75" s="3" t="n">
        <v>12</v>
      </c>
      <c r="L75" s="4" t="inlineStr">
        <is>
          <t>Vyhoď míč od hrudi do zdi. Chyť a opakuj.</t>
        </is>
      </c>
      <c r="M75" s="3" t="n"/>
      <c r="N75" s="3" t="inlineStr">
        <is>
          <t>opakování</t>
        </is>
      </c>
    </row>
    <row r="76">
      <c r="A76" s="3" t="inlineStr">
        <is>
          <t>Klik s nohama na bedně</t>
        </is>
      </c>
      <c r="B76" s="3" t="inlineStr">
        <is>
          <t>Decline push-up</t>
        </is>
      </c>
      <c r="C76" s="3" t="inlineStr">
        <is>
          <t>hrudník</t>
        </is>
      </c>
      <c r="D76" s="3" t="inlineStr">
        <is>
          <t>pokročilý</t>
        </is>
      </c>
      <c r="E76" s="3" t="inlineStr">
        <is>
          <t>bedna</t>
        </is>
      </c>
      <c r="F76" s="3" t="inlineStr">
        <is>
          <t>obojí</t>
        </is>
      </c>
      <c r="G76" s="3" t="inlineStr">
        <is>
          <t>CrossFit</t>
        </is>
      </c>
      <c r="H76" s="3" t="inlineStr">
        <is>
          <t>hlavní</t>
        </is>
      </c>
      <c r="I76" s="3" t="n">
        <v>4</v>
      </c>
      <c r="J76" s="3" t="inlineStr">
        <is>
          <t>tlak</t>
        </is>
      </c>
      <c r="K76" s="3" t="n">
        <v>10</v>
      </c>
      <c r="L76" s="4" t="inlineStr">
        <is>
          <t>Nohy na bedně, hrudník k zemi. Tělo v linii.</t>
        </is>
      </c>
      <c r="M76" s="3" t="n"/>
      <c r="N76" s="3" t="inlineStr">
        <is>
          <t>opakování</t>
        </is>
      </c>
    </row>
    <row r="77">
      <c r="A77" s="3" t="inlineStr">
        <is>
          <t>Tlak činek nad hlavu</t>
        </is>
      </c>
      <c r="B77" s="3" t="inlineStr">
        <is>
          <t>Dumbbell shoulder press</t>
        </is>
      </c>
      <c r="C77" s="3" t="inlineStr">
        <is>
          <t>ramena</t>
        </is>
      </c>
      <c r="D77" s="3" t="inlineStr">
        <is>
          <t>začátečník</t>
        </is>
      </c>
      <c r="E77" s="3" t="inlineStr">
        <is>
          <t>činky</t>
        </is>
      </c>
      <c r="F77" s="3" t="inlineStr">
        <is>
          <t>obojí</t>
        </is>
      </c>
      <c r="G77" s="3" t="inlineStr">
        <is>
          <t>CrossFit</t>
        </is>
      </c>
      <c r="H77" s="3" t="inlineStr">
        <is>
          <t>hlavní</t>
        </is>
      </c>
      <c r="I77" s="3" t="n">
        <v>4</v>
      </c>
      <c r="J77" s="3" t="inlineStr">
        <is>
          <t>tlak</t>
        </is>
      </c>
      <c r="K77" s="3" t="n">
        <v>12</v>
      </c>
      <c r="L77" s="4" t="inlineStr">
        <is>
          <t>Činky u ramen, vytlač nad hlavu. Neprohýbej bedra.</t>
        </is>
      </c>
      <c r="M77" s="3" t="n"/>
      <c r="N77" s="3" t="inlineStr">
        <is>
          <t>opakování</t>
        </is>
      </c>
    </row>
    <row r="78">
      <c r="A78" s="3" t="inlineStr">
        <is>
          <t>Pike klik</t>
        </is>
      </c>
      <c r="B78" s="3" t="inlineStr">
        <is>
          <t>Pike push-up</t>
        </is>
      </c>
      <c r="C78" s="3" t="inlineStr">
        <is>
          <t>ramena</t>
        </is>
      </c>
      <c r="D78" s="3" t="inlineStr">
        <is>
          <t>pokročilý</t>
        </is>
      </c>
      <c r="E78" s="3" t="inlineStr">
        <is>
          <t>vlastní váha</t>
        </is>
      </c>
      <c r="F78" s="3" t="inlineStr">
        <is>
          <t>obojí</t>
        </is>
      </c>
      <c r="G78" s="3" t="inlineStr">
        <is>
          <t>Tabata, CrossFit</t>
        </is>
      </c>
      <c r="H78" s="3" t="inlineStr">
        <is>
          <t>hlavní</t>
        </is>
      </c>
      <c r="I78" s="3" t="n">
        <v>4</v>
      </c>
      <c r="J78" s="3" t="inlineStr">
        <is>
          <t>tlak</t>
        </is>
      </c>
      <c r="K78" s="3" t="n">
        <v>10</v>
      </c>
      <c r="L78" s="4" t="inlineStr">
        <is>
          <t>Kyčle vysoko, hlava k zemi mezi rukama. Vytlač zpět.</t>
        </is>
      </c>
      <c r="M78" s="3" t="n"/>
      <c r="N78" s="3" t="inlineStr">
        <is>
          <t>opakování</t>
        </is>
      </c>
    </row>
    <row r="79">
      <c r="A79" s="3" t="inlineStr">
        <is>
          <t>TRX Y</t>
        </is>
      </c>
      <c r="B79" s="3" t="inlineStr">
        <is>
          <t>TRX Y raise</t>
        </is>
      </c>
      <c r="C79" s="3" t="inlineStr">
        <is>
          <t>ramena</t>
        </is>
      </c>
      <c r="D79" s="3" t="inlineStr">
        <is>
          <t>pokročilý</t>
        </is>
      </c>
      <c r="E79" s="3" t="inlineStr">
        <is>
          <t>TRX</t>
        </is>
      </c>
      <c r="F79" s="3" t="inlineStr">
        <is>
          <t>obojí</t>
        </is>
      </c>
      <c r="G79" s="3" t="inlineStr">
        <is>
          <t>TRX</t>
        </is>
      </c>
      <c r="H79" s="3" t="inlineStr">
        <is>
          <t>hlavní</t>
        </is>
      </c>
      <c r="I79" s="3" t="n">
        <v>3</v>
      </c>
      <c r="J79" s="3" t="inlineStr">
        <is>
          <t>tah</t>
        </is>
      </c>
      <c r="K79" s="3" t="n">
        <v>10</v>
      </c>
      <c r="L79" s="4" t="inlineStr">
        <is>
          <t>Drž madla, zvedni paže do písmene Y. Tělo v linii.</t>
        </is>
      </c>
      <c r="M79" s="3" t="n"/>
      <c r="N79" s="3" t="inlineStr">
        <is>
          <t>opakování</t>
        </is>
      </c>
    </row>
    <row r="80">
      <c r="A80" s="3" t="inlineStr">
        <is>
          <t>Zdvihy činek do stran</t>
        </is>
      </c>
      <c r="B80" s="3" t="inlineStr">
        <is>
          <t>Lateral raise</t>
        </is>
      </c>
      <c r="C80" s="3" t="inlineStr">
        <is>
          <t>ramena</t>
        </is>
      </c>
      <c r="D80" s="3" t="inlineStr">
        <is>
          <t>začátečník</t>
        </is>
      </c>
      <c r="E80" s="3" t="inlineStr">
        <is>
          <t>činky</t>
        </is>
      </c>
      <c r="F80" s="3" t="inlineStr">
        <is>
          <t>obojí</t>
        </is>
      </c>
      <c r="G80" s="3" t="inlineStr">
        <is>
          <t>CrossFit</t>
        </is>
      </c>
      <c r="H80" s="3" t="inlineStr">
        <is>
          <t>hlavní</t>
        </is>
      </c>
      <c r="I80" s="3" t="n">
        <v>4</v>
      </c>
      <c r="J80" s="3" t="inlineStr">
        <is>
          <t>tlak</t>
        </is>
      </c>
      <c r="K80" s="3" t="n">
        <v>12</v>
      </c>
      <c r="L80" s="4" t="inlineStr">
        <is>
          <t>Činky zvedej do stran do výšky ramen. Lokty lehce pokrčené.</t>
        </is>
      </c>
      <c r="M80" s="3" t="n"/>
      <c r="N80" s="3" t="inlineStr">
        <is>
          <t>opakování</t>
        </is>
      </c>
    </row>
    <row r="81">
      <c r="A81" s="3" t="inlineStr">
        <is>
          <t>Tlak kettlebellu nad hlavu</t>
        </is>
      </c>
      <c r="B81" s="3" t="inlineStr">
        <is>
          <t>Kettlebell press</t>
        </is>
      </c>
      <c r="C81" s="3" t="inlineStr">
        <is>
          <t>ramena</t>
        </is>
      </c>
      <c r="D81" s="3" t="inlineStr">
        <is>
          <t>pokročilý</t>
        </is>
      </c>
      <c r="E81" s="3" t="inlineStr">
        <is>
          <t>kettlebell</t>
        </is>
      </c>
      <c r="F81" s="3" t="inlineStr">
        <is>
          <t>obojí</t>
        </is>
      </c>
      <c r="G81" s="3" t="inlineStr">
        <is>
          <t>CrossFit</t>
        </is>
      </c>
      <c r="H81" s="3" t="inlineStr">
        <is>
          <t>hlavní</t>
        </is>
      </c>
      <c r="I81" s="3" t="n">
        <v>4</v>
      </c>
      <c r="J81" s="3" t="inlineStr">
        <is>
          <t>tlak</t>
        </is>
      </c>
      <c r="K81" s="3" t="n">
        <v>8</v>
      </c>
      <c r="L81" s="4" t="inlineStr">
        <is>
          <t>Kettlebell u ramene, vytlač ho nad hlavu. Břicho napnuté.</t>
        </is>
      </c>
      <c r="M81" s="3" t="n"/>
      <c r="N81" s="3" t="inlineStr">
        <is>
          <t>opakování</t>
        </is>
      </c>
    </row>
    <row r="82">
      <c r="A82" s="3" t="inlineStr">
        <is>
          <t>Stoj na rukou u zdi</t>
        </is>
      </c>
      <c r="B82" s="3" t="inlineStr">
        <is>
          <t>Wall handstand hold</t>
        </is>
      </c>
      <c r="C82" s="3" t="inlineStr">
        <is>
          <t>ramena</t>
        </is>
      </c>
      <c r="D82" s="3" t="inlineStr">
        <is>
          <t>expert</t>
        </is>
      </c>
      <c r="E82" s="3" t="inlineStr">
        <is>
          <t>vlastní váha</t>
        </is>
      </c>
      <c r="F82" s="3" t="inlineStr">
        <is>
          <t>uvnitř</t>
        </is>
      </c>
      <c r="G82" s="3" t="inlineStr">
        <is>
          <t>CrossFit</t>
        </is>
      </c>
      <c r="H82" s="3" t="inlineStr">
        <is>
          <t>hlavní</t>
        </is>
      </c>
      <c r="I82" s="3" t="n">
        <v>5</v>
      </c>
      <c r="J82" s="3" t="inlineStr">
        <is>
          <t>tlak</t>
        </is>
      </c>
      <c r="K82" s="3" t="n">
        <v>20</v>
      </c>
      <c r="L82" s="4" t="inlineStr">
        <is>
          <t>Vzepři se nohama na zeď, ruce pod rameny. Drž tělo napjaté.</t>
        </is>
      </c>
      <c r="M82" s="3" t="n"/>
      <c r="N82" s="3" t="inlineStr">
        <is>
          <t>sekundy</t>
        </is>
      </c>
    </row>
    <row r="83">
      <c r="A83" s="3" t="inlineStr">
        <is>
          <t>TRX předpažení</t>
        </is>
      </c>
      <c r="B83" s="3" t="inlineStr">
        <is>
          <t>TRX front raise</t>
        </is>
      </c>
      <c r="C83" s="3" t="inlineStr">
        <is>
          <t>ramena</t>
        </is>
      </c>
      <c r="D83" s="3" t="inlineStr">
        <is>
          <t>začátečník</t>
        </is>
      </c>
      <c r="E83" s="3" t="inlineStr">
        <is>
          <t>TRX</t>
        </is>
      </c>
      <c r="F83" s="3" t="inlineStr">
        <is>
          <t>obojí</t>
        </is>
      </c>
      <c r="G83" s="3" t="inlineStr">
        <is>
          <t>TRX</t>
        </is>
      </c>
      <c r="H83" s="3" t="inlineStr">
        <is>
          <t>hlavní</t>
        </is>
      </c>
      <c r="I83" s="3" t="n">
        <v>3</v>
      </c>
      <c r="J83" s="3" t="inlineStr">
        <is>
          <t>tah</t>
        </is>
      </c>
      <c r="K83" s="3" t="n">
        <v>12</v>
      </c>
      <c r="L83" s="4" t="inlineStr">
        <is>
          <t>Drž madla, nakloň se dozadu, zdvihni paže vpřed. Tělo v linii.</t>
        </is>
      </c>
      <c r="M83" s="3" t="n"/>
      <c r="N83" s="3" t="inlineStr">
        <is>
          <t>opakování</t>
        </is>
      </c>
    </row>
    <row r="84">
      <c r="A84" s="3" t="inlineStr">
        <is>
          <t>TRX biceps</t>
        </is>
      </c>
      <c r="B84" s="3" t="inlineStr">
        <is>
          <t>TRX biceps curl</t>
        </is>
      </c>
      <c r="C84" s="3" t="inlineStr">
        <is>
          <t>paže</t>
        </is>
      </c>
      <c r="D84" s="3" t="inlineStr">
        <is>
          <t>začátečník</t>
        </is>
      </c>
      <c r="E84" s="3" t="inlineStr">
        <is>
          <t>TRX</t>
        </is>
      </c>
      <c r="F84" s="3" t="inlineStr">
        <is>
          <t>obojí</t>
        </is>
      </c>
      <c r="G84" s="3" t="inlineStr">
        <is>
          <t>TRX</t>
        </is>
      </c>
      <c r="H84" s="3" t="inlineStr">
        <is>
          <t>hlavní</t>
        </is>
      </c>
      <c r="I84" s="3" t="n">
        <v>4</v>
      </c>
      <c r="J84" s="3" t="inlineStr">
        <is>
          <t>tah</t>
        </is>
      </c>
      <c r="K84" s="3" t="n">
        <v>12</v>
      </c>
      <c r="L84" s="4" t="inlineStr">
        <is>
          <t>Drž madla s dlaněmi k sobě, přitáhni ruce k čelu. Lokty nahoře.</t>
        </is>
      </c>
      <c r="M84" s="3" t="n"/>
      <c r="N84" s="3" t="inlineStr">
        <is>
          <t>opakování</t>
        </is>
      </c>
    </row>
    <row r="85">
      <c r="A85" s="3" t="inlineStr">
        <is>
          <t>TRX triceps</t>
        </is>
      </c>
      <c r="B85" s="3" t="inlineStr">
        <is>
          <t>TRX triceps extension</t>
        </is>
      </c>
      <c r="C85" s="3" t="inlineStr">
        <is>
          <t>paže</t>
        </is>
      </c>
      <c r="D85" s="3" t="inlineStr">
        <is>
          <t>pokročilý</t>
        </is>
      </c>
      <c r="E85" s="3" t="inlineStr">
        <is>
          <t>TRX</t>
        </is>
      </c>
      <c r="F85" s="3" t="inlineStr">
        <is>
          <t>obojí</t>
        </is>
      </c>
      <c r="G85" s="3" t="inlineStr">
        <is>
          <t>TRX</t>
        </is>
      </c>
      <c r="H85" s="3" t="inlineStr">
        <is>
          <t>hlavní</t>
        </is>
      </c>
      <c r="I85" s="3" t="n">
        <v>4</v>
      </c>
      <c r="J85" s="3" t="inlineStr">
        <is>
          <t>tlak</t>
        </is>
      </c>
      <c r="K85" s="3" t="n">
        <v>10</v>
      </c>
      <c r="L85" s="4" t="inlineStr">
        <is>
          <t>Předloktí u hlavy, natáhni paže. Lokty drž stabilně.</t>
        </is>
      </c>
      <c r="M85" s="3" t="n"/>
      <c r="N85" s="3" t="inlineStr">
        <is>
          <t>opakování</t>
        </is>
      </c>
    </row>
    <row r="86">
      <c r="A86" s="3" t="inlineStr">
        <is>
          <t>Dipy na bedně</t>
        </is>
      </c>
      <c r="B86" s="3" t="inlineStr">
        <is>
          <t>Bench dips</t>
        </is>
      </c>
      <c r="C86" s="3" t="inlineStr">
        <is>
          <t>paže</t>
        </is>
      </c>
      <c r="D86" s="3" t="inlineStr">
        <is>
          <t>začátečník</t>
        </is>
      </c>
      <c r="E86" s="3" t="inlineStr">
        <is>
          <t>bedna</t>
        </is>
      </c>
      <c r="F86" s="3" t="inlineStr">
        <is>
          <t>obojí</t>
        </is>
      </c>
      <c r="G86" s="3" t="inlineStr">
        <is>
          <t>Tabata, CrossFit</t>
        </is>
      </c>
      <c r="H86" s="3" t="inlineStr">
        <is>
          <t>hlavní</t>
        </is>
      </c>
      <c r="I86" s="3" t="n">
        <v>4</v>
      </c>
      <c r="J86" s="3" t="inlineStr">
        <is>
          <t>tlak</t>
        </is>
      </c>
      <c r="K86" s="3" t="n">
        <v>12</v>
      </c>
      <c r="L86" s="4" t="inlineStr">
        <is>
          <t>Ruce za sebou na bedně, ohni lokty a zase propni. Lokty vedle trupu.</t>
        </is>
      </c>
      <c r="M86" s="3" t="n"/>
      <c r="N86" s="3" t="inlineStr">
        <is>
          <t>opakování</t>
        </is>
      </c>
    </row>
    <row r="87">
      <c r="A87" s="3" t="inlineStr">
        <is>
          <t>Zdvih činek biceps</t>
        </is>
      </c>
      <c r="B87" s="3" t="inlineStr">
        <is>
          <t>Dumbbell curl</t>
        </is>
      </c>
      <c r="C87" s="3" t="inlineStr">
        <is>
          <t>paže</t>
        </is>
      </c>
      <c r="D87" s="3" t="inlineStr">
        <is>
          <t>začátečník</t>
        </is>
      </c>
      <c r="E87" s="3" t="inlineStr">
        <is>
          <t>činky</t>
        </is>
      </c>
      <c r="F87" s="3" t="inlineStr">
        <is>
          <t>obojí</t>
        </is>
      </c>
      <c r="G87" s="3" t="inlineStr">
        <is>
          <t>CrossFit</t>
        </is>
      </c>
      <c r="H87" s="3" t="inlineStr">
        <is>
          <t>hlavní</t>
        </is>
      </c>
      <c r="I87" s="3" t="n">
        <v>4</v>
      </c>
      <c r="J87" s="3" t="inlineStr">
        <is>
          <t>tah</t>
        </is>
      </c>
      <c r="K87" s="3" t="n">
        <v>12</v>
      </c>
      <c r="L87" s="4" t="inlineStr">
        <is>
          <t>Zvedej činky k ramenům. Lokty u těla.</t>
        </is>
      </c>
      <c r="M87" s="3" t="n"/>
      <c r="N87" s="3" t="inlineStr">
        <is>
          <t>opakování</t>
        </is>
      </c>
    </row>
    <row r="88">
      <c r="A88" s="3" t="inlineStr">
        <is>
          <t>Kladivové zdvihy</t>
        </is>
      </c>
      <c r="B88" s="3" t="inlineStr">
        <is>
          <t>Hammer curl</t>
        </is>
      </c>
      <c r="C88" s="3" t="inlineStr">
        <is>
          <t>paže</t>
        </is>
      </c>
      <c r="D88" s="3" t="inlineStr">
        <is>
          <t>začátečník</t>
        </is>
      </c>
      <c r="E88" s="3" t="inlineStr">
        <is>
          <t>činky</t>
        </is>
      </c>
      <c r="F88" s="3" t="inlineStr">
        <is>
          <t>obojí</t>
        </is>
      </c>
      <c r="G88" s="3" t="inlineStr">
        <is>
          <t>CrossFit</t>
        </is>
      </c>
      <c r="H88" s="3" t="inlineStr">
        <is>
          <t>hlavní</t>
        </is>
      </c>
      <c r="I88" s="3" t="n">
        <v>4</v>
      </c>
      <c r="J88" s="3" t="inlineStr">
        <is>
          <t>tah</t>
        </is>
      </c>
      <c r="K88" s="3" t="n">
        <v>12</v>
      </c>
      <c r="L88" s="4" t="inlineStr">
        <is>
          <t>Činky drž dlaněmi k sobě, zvedej k ramenům. Nehoupej se.</t>
        </is>
      </c>
      <c r="M88" s="3" t="n"/>
      <c r="N88" s="3" t="inlineStr">
        <is>
          <t>opakování</t>
        </is>
      </c>
    </row>
    <row r="89">
      <c r="A89" s="3" t="inlineStr">
        <is>
          <t>Triceps s gumou</t>
        </is>
      </c>
      <c r="B89" s="3" t="inlineStr">
        <is>
          <t>Band triceps pushdown</t>
        </is>
      </c>
      <c r="C89" s="3" t="inlineStr">
        <is>
          <t>paže</t>
        </is>
      </c>
      <c r="D89" s="3" t="inlineStr">
        <is>
          <t>začátečník</t>
        </is>
      </c>
      <c r="E89" s="3" t="inlineStr">
        <is>
          <t>odporová guma</t>
        </is>
      </c>
      <c r="F89" s="3" t="inlineStr">
        <is>
          <t>obojí</t>
        </is>
      </c>
      <c r="G89" s="3" t="inlineStr">
        <is>
          <t>Tabata, TRX, CrossFit</t>
        </is>
      </c>
      <c r="H89" s="3" t="inlineStr">
        <is>
          <t>hlavní</t>
        </is>
      </c>
      <c r="I89" s="3" t="n">
        <v>4</v>
      </c>
      <c r="J89" s="3" t="inlineStr">
        <is>
          <t>tlak</t>
        </is>
      </c>
      <c r="K89" s="3" t="n">
        <v>15</v>
      </c>
      <c r="L89" s="4" t="inlineStr">
        <is>
          <t>Gumu upevni nahoře, tlač dolů s lokty u těla. Propni paže.</t>
        </is>
      </c>
      <c r="M89" s="3" t="n"/>
      <c r="N89" s="3" t="inlineStr">
        <is>
          <t>opakování</t>
        </is>
      </c>
    </row>
    <row r="90">
      <c r="A90" s="3" t="inlineStr">
        <is>
          <t>Biceps s gumou</t>
        </is>
      </c>
      <c r="B90" s="3" t="inlineStr">
        <is>
          <t>Band biceps curl</t>
        </is>
      </c>
      <c r="C90" s="3" t="inlineStr">
        <is>
          <t>paže</t>
        </is>
      </c>
      <c r="D90" s="3" t="inlineStr">
        <is>
          <t>začátečník</t>
        </is>
      </c>
      <c r="E90" s="3" t="inlineStr">
        <is>
          <t>odporová guma</t>
        </is>
      </c>
      <c r="F90" s="3" t="inlineStr">
        <is>
          <t>obojí</t>
        </is>
      </c>
      <c r="G90" s="3" t="inlineStr">
        <is>
          <t>Tabata, TRX, CrossFit</t>
        </is>
      </c>
      <c r="H90" s="3" t="inlineStr">
        <is>
          <t>hlavní</t>
        </is>
      </c>
      <c r="I90" s="3" t="n">
        <v>4</v>
      </c>
      <c r="J90" s="3" t="inlineStr">
        <is>
          <t>tah</t>
        </is>
      </c>
      <c r="K90" s="3" t="n">
        <v>15</v>
      </c>
      <c r="L90" s="4" t="inlineStr">
        <is>
          <t>Stoj na gumě, zvedej ruce k ramenům. Lokty u těla.</t>
        </is>
      </c>
      <c r="M90" s="3" t="n"/>
      <c r="N90" s="3" t="inlineStr">
        <is>
          <t>opakování</t>
        </is>
      </c>
    </row>
    <row r="91">
      <c r="A91" s="3" t="inlineStr">
        <is>
          <t>Angličák (burpee)</t>
        </is>
      </c>
      <c r="B91" s="3" t="inlineStr">
        <is>
          <t>Burpee</t>
        </is>
      </c>
      <c r="C91" s="3" t="inlineStr">
        <is>
          <t>celé tělo</t>
        </is>
      </c>
      <c r="D91" s="3" t="inlineStr">
        <is>
          <t>pokročilý</t>
        </is>
      </c>
      <c r="E91" s="3" t="inlineStr">
        <is>
          <t>vlastní váha</t>
        </is>
      </c>
      <c r="F91" s="3" t="inlineStr">
        <is>
          <t>obojí</t>
        </is>
      </c>
      <c r="G91" s="3" t="inlineStr">
        <is>
          <t>Tabata, CrossFit</t>
        </is>
      </c>
      <c r="H91" s="3" t="inlineStr">
        <is>
          <t>hlavní</t>
        </is>
      </c>
      <c r="I91" s="3" t="n">
        <v>1</v>
      </c>
      <c r="J91" s="3" t="inlineStr">
        <is>
          <t>skok</t>
        </is>
      </c>
      <c r="K91" s="3" t="n">
        <v>10</v>
      </c>
      <c r="L91" s="4" t="inlineStr">
        <is>
          <t>Dřep, vzpor ležmo, klik, skok zpět a výskok s tleskem.</t>
        </is>
      </c>
      <c r="M91" s="3" t="n"/>
      <c r="N91" s="3" t="inlineStr">
        <is>
          <t>opakování</t>
        </is>
      </c>
    </row>
    <row r="92">
      <c r="A92" s="3" t="inlineStr">
        <is>
          <t>TRX angličák</t>
        </is>
      </c>
      <c r="B92" s="3" t="inlineStr">
        <is>
          <t>TRX burpee</t>
        </is>
      </c>
      <c r="C92" s="3" t="inlineStr">
        <is>
          <t>celé tělo</t>
        </is>
      </c>
      <c r="D92" s="3" t="inlineStr">
        <is>
          <t>expert</t>
        </is>
      </c>
      <c r="E92" s="3" t="inlineStr">
        <is>
          <t>TRX</t>
        </is>
      </c>
      <c r="F92" s="3" t="inlineStr">
        <is>
          <t>obojí</t>
        </is>
      </c>
      <c r="G92" s="3" t="inlineStr">
        <is>
          <t>TRX</t>
        </is>
      </c>
      <c r="H92" s="3" t="inlineStr">
        <is>
          <t>hlavní</t>
        </is>
      </c>
      <c r="I92" s="3" t="n">
        <v>2</v>
      </c>
      <c r="J92" s="3" t="inlineStr">
        <is>
          <t>skok</t>
        </is>
      </c>
      <c r="K92" s="3" t="n">
        <v>8</v>
      </c>
      <c r="L92" s="4" t="inlineStr">
        <is>
          <t>Z vzporu s nohama v madlech skoč do dřepu a vyskoč. Zpět do vzporu.</t>
        </is>
      </c>
      <c r="M92" s="3" t="n"/>
      <c r="N92" s="3" t="inlineStr">
        <is>
          <t>opakování</t>
        </is>
      </c>
    </row>
    <row r="93">
      <c r="A93" s="3" t="inlineStr">
        <is>
          <t>Thruster s činkami</t>
        </is>
      </c>
      <c r="B93" s="3" t="inlineStr">
        <is>
          <t>Thruster</t>
        </is>
      </c>
      <c r="C93" s="3" t="inlineStr">
        <is>
          <t>celé tělo</t>
        </is>
      </c>
      <c r="D93" s="3" t="inlineStr">
        <is>
          <t>pokročilý</t>
        </is>
      </c>
      <c r="E93" s="3" t="inlineStr">
        <is>
          <t>činky</t>
        </is>
      </c>
      <c r="F93" s="3" t="inlineStr">
        <is>
          <t>obojí</t>
        </is>
      </c>
      <c r="G93" s="3" t="inlineStr">
        <is>
          <t>CrossFit</t>
        </is>
      </c>
      <c r="H93" s="3" t="inlineStr">
        <is>
          <t>hlavní</t>
        </is>
      </c>
      <c r="I93" s="3" t="n">
        <v>3</v>
      </c>
      <c r="J93" s="3" t="inlineStr">
        <is>
          <t>dřep</t>
        </is>
      </c>
      <c r="K93" s="3" t="n">
        <v>10</v>
      </c>
      <c r="L93" s="4" t="inlineStr">
        <is>
          <t>Z dřepu vstaň a vytlač činky nad hlavu. Plynule.</t>
        </is>
      </c>
      <c r="M93" s="3" t="n"/>
      <c r="N93" s="3" t="inlineStr">
        <is>
          <t>opakování</t>
        </is>
      </c>
    </row>
    <row r="94">
      <c r="A94" s="3" t="inlineStr">
        <is>
          <t>Hod medicinbalu do zdi</t>
        </is>
      </c>
      <c r="B94" s="3" t="inlineStr">
        <is>
          <t>Wall ball</t>
        </is>
      </c>
      <c r="C94" s="3" t="inlineStr">
        <is>
          <t>celé tělo</t>
        </is>
      </c>
      <c r="D94" s="3" t="inlineStr">
        <is>
          <t>pokročilý</t>
        </is>
      </c>
      <c r="E94" s="3" t="inlineStr">
        <is>
          <t>medicinbal</t>
        </is>
      </c>
      <c r="F94" s="3" t="inlineStr">
        <is>
          <t>obojí</t>
        </is>
      </c>
      <c r="G94" s="3" t="inlineStr">
        <is>
          <t>CrossFit</t>
        </is>
      </c>
      <c r="H94" s="3" t="inlineStr">
        <is>
          <t>hlavní</t>
        </is>
      </c>
      <c r="I94" s="3" t="n">
        <v>3</v>
      </c>
      <c r="J94" s="3" t="inlineStr">
        <is>
          <t>dřep</t>
        </is>
      </c>
      <c r="K94" s="3" t="n">
        <v>15</v>
      </c>
      <c r="L94" s="4" t="inlineStr">
        <is>
          <t>Z dřepu vstaň a hoď míč nad značku na zdi. Chyť a opakuj.</t>
        </is>
      </c>
      <c r="M94" s="3" t="n"/>
      <c r="N94" s="3" t="inlineStr">
        <is>
          <t>opakování</t>
        </is>
      </c>
    </row>
    <row r="95">
      <c r="A95" s="3" t="inlineStr">
        <is>
          <t>Hod medicinbalu o zem</t>
        </is>
      </c>
      <c r="B95" s="3" t="inlineStr">
        <is>
          <t>Slam ball</t>
        </is>
      </c>
      <c r="C95" s="3" t="inlineStr">
        <is>
          <t>celé tělo</t>
        </is>
      </c>
      <c r="D95" s="3" t="inlineStr">
        <is>
          <t>začátečník</t>
        </is>
      </c>
      <c r="E95" s="3" t="inlineStr">
        <is>
          <t>medicinbal</t>
        </is>
      </c>
      <c r="F95" s="3" t="inlineStr">
        <is>
          <t>obojí</t>
        </is>
      </c>
      <c r="G95" s="3" t="inlineStr">
        <is>
          <t>Tabata, CrossFit</t>
        </is>
      </c>
      <c r="H95" s="3" t="inlineStr">
        <is>
          <t>hlavní</t>
        </is>
      </c>
      <c r="I95" s="3" t="n">
        <v>2</v>
      </c>
      <c r="J95" s="3" t="inlineStr">
        <is>
          <t>jiné</t>
        </is>
      </c>
      <c r="K95" s="3" t="n">
        <v>12</v>
      </c>
      <c r="L95" s="4" t="inlineStr">
        <is>
          <t>Zvedni míč nad hlavu a výbušně hoď o zem. Chyť na odrazu.</t>
        </is>
      </c>
      <c r="M95" s="3" t="n"/>
      <c r="N95" s="3" t="inlineStr">
        <is>
          <t>opakování</t>
        </is>
      </c>
    </row>
    <row r="96">
      <c r="A96" s="3" t="inlineStr">
        <is>
          <t>Vlny lanem</t>
        </is>
      </c>
      <c r="B96" s="3" t="inlineStr">
        <is>
          <t>Battle ropes</t>
        </is>
      </c>
      <c r="C96" s="3" t="inlineStr">
        <is>
          <t>celé tělo</t>
        </is>
      </c>
      <c r="D96" s="3" t="inlineStr">
        <is>
          <t>pokročilý</t>
        </is>
      </c>
      <c r="E96" s="3" t="inlineStr">
        <is>
          <t>lano</t>
        </is>
      </c>
      <c r="F96" s="3" t="inlineStr">
        <is>
          <t>uvnitř</t>
        </is>
      </c>
      <c r="G96" s="3" t="inlineStr">
        <is>
          <t>Tabata, CrossFit</t>
        </is>
      </c>
      <c r="H96" s="3" t="inlineStr">
        <is>
          <t>hlavní</t>
        </is>
      </c>
      <c r="I96" s="3" t="n">
        <v>1</v>
      </c>
      <c r="J96" s="3" t="inlineStr">
        <is>
          <t>jiné</t>
        </is>
      </c>
      <c r="K96" s="3" t="n">
        <v>30</v>
      </c>
      <c r="L96" s="4" t="inlineStr">
        <is>
          <t>Střídavě švihej lany nahoru a dolů. Rychle, kolena ohnutá.</t>
        </is>
      </c>
      <c r="M96" s="3" t="n"/>
      <c r="N96" s="3" t="inlineStr">
        <is>
          <t>sekundy</t>
        </is>
      </c>
    </row>
    <row r="97">
      <c r="A97" s="3" t="inlineStr">
        <is>
          <t>Skákání přes švihadlo</t>
        </is>
      </c>
      <c r="B97" s="3" t="inlineStr">
        <is>
          <t>Jump rope</t>
        </is>
      </c>
      <c r="C97" s="3" t="inlineStr">
        <is>
          <t>celé tělo</t>
        </is>
      </c>
      <c r="D97" s="3" t="inlineStr">
        <is>
          <t>začátečník</t>
        </is>
      </c>
      <c r="E97" s="3" t="inlineStr">
        <is>
          <t>švihadlo</t>
        </is>
      </c>
      <c r="F97" s="3" t="inlineStr">
        <is>
          <t>obojí</t>
        </is>
      </c>
      <c r="G97" s="3" t="inlineStr">
        <is>
          <t>Tabata, CrossFit</t>
        </is>
      </c>
      <c r="H97" s="3" t="inlineStr">
        <is>
          <t>hlavní</t>
        </is>
      </c>
      <c r="I97" s="3" t="n">
        <v>1</v>
      </c>
      <c r="J97" s="3" t="inlineStr">
        <is>
          <t>skok</t>
        </is>
      </c>
      <c r="K97" s="3" t="n">
        <v>50</v>
      </c>
      <c r="L97" s="4" t="inlineStr">
        <is>
          <t>Skákej na špičkách, zápěstí kroutí švihadlem. Nízké skoky.</t>
        </is>
      </c>
      <c r="M97" s="3" t="n"/>
      <c r="N97" s="3" t="inlineStr">
        <is>
          <t>opakování</t>
        </is>
      </c>
    </row>
    <row r="98">
      <c r="A98" s="3" t="inlineStr">
        <is>
          <t>Dvojité švihy</t>
        </is>
      </c>
      <c r="B98" s="3" t="inlineStr">
        <is>
          <t>Double unders</t>
        </is>
      </c>
      <c r="C98" s="3" t="inlineStr">
        <is>
          <t>celé tělo</t>
        </is>
      </c>
      <c r="D98" s="3" t="inlineStr">
        <is>
          <t>expert</t>
        </is>
      </c>
      <c r="E98" s="3" t="inlineStr">
        <is>
          <t>švihadlo</t>
        </is>
      </c>
      <c r="F98" s="3" t="inlineStr">
        <is>
          <t>obojí</t>
        </is>
      </c>
      <c r="G98" s="3" t="inlineStr">
        <is>
          <t>CrossFit</t>
        </is>
      </c>
      <c r="H98" s="3" t="inlineStr">
        <is>
          <t>hlavní</t>
        </is>
      </c>
      <c r="I98" s="3" t="n">
        <v>1</v>
      </c>
      <c r="J98" s="3" t="inlineStr">
        <is>
          <t>skok</t>
        </is>
      </c>
      <c r="K98" s="3" t="n">
        <v>30</v>
      </c>
      <c r="L98" s="4" t="inlineStr">
        <is>
          <t>Skoč výš a protoč švihadlo dvakrát. Zápěstí rychle.</t>
        </is>
      </c>
      <c r="M98" s="3" t="n"/>
      <c r="N98" s="3" t="inlineStr">
        <is>
          <t>opakování</t>
        </is>
      </c>
    </row>
    <row r="99">
      <c r="A99" s="3" t="inlineStr">
        <is>
          <t>Medvědí chůze</t>
        </is>
      </c>
      <c r="B99" s="3" t="inlineStr">
        <is>
          <t>Bear crawl</t>
        </is>
      </c>
      <c r="C99" s="3" t="inlineStr">
        <is>
          <t>celé tělo</t>
        </is>
      </c>
      <c r="D99" s="3" t="inlineStr">
        <is>
          <t>začátečník</t>
        </is>
      </c>
      <c r="E99" s="3" t="inlineStr">
        <is>
          <t>vlastní váha</t>
        </is>
      </c>
      <c r="F99" s="3" t="inlineStr">
        <is>
          <t>obojí</t>
        </is>
      </c>
      <c r="G99" s="3" t="inlineStr">
        <is>
          <t>Tabata, CrossFit</t>
        </is>
      </c>
      <c r="H99" s="3" t="inlineStr">
        <is>
          <t>hlavní</t>
        </is>
      </c>
      <c r="I99" s="3" t="n">
        <v>2</v>
      </c>
      <c r="J99" s="3" t="inlineStr">
        <is>
          <t>jiné</t>
        </is>
      </c>
      <c r="K99" s="3" t="n">
        <v>10</v>
      </c>
      <c r="L99" s="4" t="inlineStr">
        <is>
          <t>Po čtyřech s koleny nad zemí lez vpřed. Záda rovná.</t>
        </is>
      </c>
      <c r="M99" s="3" t="n"/>
      <c r="N99" s="3" t="inlineStr">
        <is>
          <t>metry</t>
        </is>
      </c>
    </row>
    <row r="100">
      <c r="A100" s="3" t="inlineStr">
        <is>
          <t>Farmářská chůze</t>
        </is>
      </c>
      <c r="B100" s="3" t="inlineStr">
        <is>
          <t>Farmer's carry</t>
        </is>
      </c>
      <c r="C100" s="3" t="inlineStr">
        <is>
          <t>celé tělo</t>
        </is>
      </c>
      <c r="D100" s="3" t="inlineStr">
        <is>
          <t>začátečník</t>
        </is>
      </c>
      <c r="E100" s="3" t="inlineStr">
        <is>
          <t>kettlebell</t>
        </is>
      </c>
      <c r="F100" s="3" t="inlineStr">
        <is>
          <t>obojí</t>
        </is>
      </c>
      <c r="G100" s="3" t="inlineStr">
        <is>
          <t>CrossFit</t>
        </is>
      </c>
      <c r="H100" s="3" t="inlineStr">
        <is>
          <t>hlavní</t>
        </is>
      </c>
      <c r="I100" s="3" t="n">
        <v>5</v>
      </c>
      <c r="J100" s="3" t="inlineStr">
        <is>
          <t>nosení</t>
        </is>
      </c>
      <c r="K100" s="3" t="n">
        <v>20</v>
      </c>
      <c r="L100" s="4" t="inlineStr">
        <is>
          <t>Drž těžké závaží v rukou a choď s rovnými zády. Ramena stáhni dolů.</t>
        </is>
      </c>
      <c r="M100" s="3" t="n"/>
      <c r="N100" s="3" t="inlineStr">
        <is>
          <t>metry</t>
        </is>
      </c>
    </row>
    <row r="101">
      <c r="A101" s="3" t="inlineStr">
        <is>
          <t>Turecký vstávací</t>
        </is>
      </c>
      <c r="B101" s="3" t="inlineStr">
        <is>
          <t>Turkish get-up</t>
        </is>
      </c>
      <c r="C101" s="3" t="inlineStr">
        <is>
          <t>celé tělo</t>
        </is>
      </c>
      <c r="D101" s="3" t="inlineStr">
        <is>
          <t>expert</t>
        </is>
      </c>
      <c r="E101" s="3" t="inlineStr">
        <is>
          <t>kettlebell</t>
        </is>
      </c>
      <c r="F101" s="3" t="inlineStr">
        <is>
          <t>obojí</t>
        </is>
      </c>
      <c r="G101" s="3" t="inlineStr">
        <is>
          <t>CrossFit</t>
        </is>
      </c>
      <c r="H101" s="3" t="inlineStr">
        <is>
          <t>hlavní</t>
        </is>
      </c>
      <c r="I101" s="3" t="n">
        <v>5</v>
      </c>
      <c r="J101" s="3" t="inlineStr">
        <is>
          <t>jiné</t>
        </is>
      </c>
      <c r="K101" s="3" t="n">
        <v>3</v>
      </c>
      <c r="L101" s="4" t="inlineStr">
        <is>
          <t>Z lehu vstaň s kettlebellem nad hlavou. Pomalu, oči na závaží.</t>
        </is>
      </c>
      <c r="M101" s="3" t="n"/>
      <c r="N101" s="3" t="inlineStr">
        <is>
          <t>opakování</t>
        </is>
      </c>
    </row>
    <row r="102">
      <c r="A102" s="3" t="inlineStr">
        <is>
          <t>Trh s činkou</t>
        </is>
      </c>
      <c r="B102" s="3" t="inlineStr">
        <is>
          <t>Dumbbell snatch</t>
        </is>
      </c>
      <c r="C102" s="3" t="inlineStr">
        <is>
          <t>celé tělo</t>
        </is>
      </c>
      <c r="D102" s="3" t="inlineStr">
        <is>
          <t>expert</t>
        </is>
      </c>
      <c r="E102" s="3" t="inlineStr">
        <is>
          <t>činky</t>
        </is>
      </c>
      <c r="F102" s="3" t="inlineStr">
        <is>
          <t>obojí</t>
        </is>
      </c>
      <c r="G102" s="3" t="inlineStr">
        <is>
          <t>CrossFit</t>
        </is>
      </c>
      <c r="H102" s="3" t="inlineStr">
        <is>
          <t>hlavní</t>
        </is>
      </c>
      <c r="I102" s="3" t="n">
        <v>4</v>
      </c>
      <c r="J102" s="3" t="inlineStr">
        <is>
          <t>záklon/předklon</t>
        </is>
      </c>
      <c r="K102" s="3" t="n">
        <v>8</v>
      </c>
      <c r="L102" s="4" t="inlineStr">
        <is>
          <t>Z dřepu švihni činku jedním pohybem nad hlavu. Střídej ruce.</t>
        </is>
      </c>
      <c r="M102" s="3" t="n"/>
      <c r="N102" s="3" t="inlineStr">
        <is>
          <t>opakování</t>
        </is>
      </c>
    </row>
    <row r="103">
      <c r="A103" s="3" t="inlineStr">
        <is>
          <t>Člověk-stroj</t>
        </is>
      </c>
      <c r="B103" s="3" t="inlineStr">
        <is>
          <t>Man maker</t>
        </is>
      </c>
      <c r="C103" s="3" t="inlineStr">
        <is>
          <t>celé tělo</t>
        </is>
      </c>
      <c r="D103" s="3" t="inlineStr">
        <is>
          <t>expert</t>
        </is>
      </c>
      <c r="E103" s="3" t="inlineStr">
        <is>
          <t>činky</t>
        </is>
      </c>
      <c r="F103" s="3" t="inlineStr">
        <is>
          <t>obojí</t>
        </is>
      </c>
      <c r="G103" s="3" t="inlineStr">
        <is>
          <t>CrossFit</t>
        </is>
      </c>
      <c r="H103" s="3" t="inlineStr">
        <is>
          <t>hlavní</t>
        </is>
      </c>
      <c r="I103" s="3" t="n">
        <v>3</v>
      </c>
      <c r="J103" s="3" t="inlineStr">
        <is>
          <t>tlak</t>
        </is>
      </c>
      <c r="K103" s="3" t="n">
        <v>6</v>
      </c>
      <c r="L103" s="4" t="inlineStr">
        <is>
          <t>Klik na činkách, přítah každou rukou, vstaň a vytlač nad hlavu.</t>
        </is>
      </c>
      <c r="M103" s="3" t="n"/>
      <c r="N103" s="3" t="inlineStr">
        <is>
          <t>opakování</t>
        </is>
      </c>
    </row>
    <row r="104">
      <c r="A104" s="3" t="inlineStr">
        <is>
          <t>TRX skákací panák</t>
        </is>
      </c>
      <c r="B104" s="3" t="inlineStr">
        <is>
          <t>TRX jumping jack</t>
        </is>
      </c>
      <c r="C104" s="3" t="inlineStr">
        <is>
          <t>celé tělo</t>
        </is>
      </c>
      <c r="D104" s="3" t="inlineStr">
        <is>
          <t>pokročilý</t>
        </is>
      </c>
      <c r="E104" s="3" t="inlineStr">
        <is>
          <t>TRX</t>
        </is>
      </c>
      <c r="F104" s="3" t="inlineStr">
        <is>
          <t>obojí</t>
        </is>
      </c>
      <c r="G104" s="3" t="inlineStr">
        <is>
          <t>TRX</t>
        </is>
      </c>
      <c r="H104" s="3" t="inlineStr">
        <is>
          <t>hlavní</t>
        </is>
      </c>
      <c r="I104" s="3" t="n">
        <v>1</v>
      </c>
      <c r="J104" s="3" t="inlineStr">
        <is>
          <t>skok</t>
        </is>
      </c>
      <c r="K104" s="3" t="n">
        <v>20</v>
      </c>
      <c r="L104" s="4" t="inlineStr">
        <is>
          <t>Drž madla, skákej s rozkročením. Paže dole, dech pravidelný.</t>
        </is>
      </c>
      <c r="M104" s="3" t="n"/>
      <c r="N104" s="3" t="inlineStr">
        <is>
          <t>opakování</t>
        </is>
      </c>
    </row>
    <row r="105">
      <c r="A105" s="3" t="inlineStr">
        <is>
          <t>Skoky do dálky</t>
        </is>
      </c>
      <c r="B105" s="3" t="inlineStr">
        <is>
          <t>Broad jump</t>
        </is>
      </c>
      <c r="C105" s="3" t="inlineStr">
        <is>
          <t>celé tělo</t>
        </is>
      </c>
      <c r="D105" s="3" t="inlineStr">
        <is>
          <t>pokročilý</t>
        </is>
      </c>
      <c r="E105" s="3" t="inlineStr">
        <is>
          <t>vlastní váha</t>
        </is>
      </c>
      <c r="F105" s="3" t="inlineStr">
        <is>
          <t>venku</t>
        </is>
      </c>
      <c r="G105" s="3" t="inlineStr">
        <is>
          <t>Tabata, CrossFit</t>
        </is>
      </c>
      <c r="H105" s="3" t="inlineStr">
        <is>
          <t>hlavní</t>
        </is>
      </c>
      <c r="I105" s="3" t="n">
        <v>2</v>
      </c>
      <c r="J105" s="3" t="inlineStr">
        <is>
          <t>skok</t>
        </is>
      </c>
      <c r="K105" s="3" t="n">
        <v>8</v>
      </c>
      <c r="L105" s="4" t="inlineStr">
        <is>
          <t>Výskokem skoč co nejdál. Dopadni do dřepu.</t>
        </is>
      </c>
      <c r="M105" s="3" t="n"/>
      <c r="N105" s="3" t="inlineStr">
        <is>
          <t>opakování</t>
        </is>
      </c>
    </row>
    <row r="106">
      <c r="A106" s="3" t="inlineStr">
        <is>
          <t>Dřep s osou na zádech</t>
        </is>
      </c>
      <c r="B106" s="3" t="inlineStr">
        <is>
          <t>Back squat</t>
        </is>
      </c>
      <c r="C106" s="3" t="inlineStr">
        <is>
          <t>nohy</t>
        </is>
      </c>
      <c r="D106" s="3" t="inlineStr">
        <is>
          <t>pokročilý</t>
        </is>
      </c>
      <c r="E106" s="3" t="inlineStr">
        <is>
          <t>osa</t>
        </is>
      </c>
      <c r="F106" s="3" t="inlineStr">
        <is>
          <t>obojí</t>
        </is>
      </c>
      <c r="G106" s="3" t="inlineStr">
        <is>
          <t>CrossFit</t>
        </is>
      </c>
      <c r="H106" s="3" t="inlineStr">
        <is>
          <t>hlavní</t>
        </is>
      </c>
      <c r="I106" s="3" t="n">
        <v>5</v>
      </c>
      <c r="J106" s="3" t="inlineStr">
        <is>
          <t>dřep</t>
        </is>
      </c>
      <c r="K106" s="3" t="n">
        <v>8</v>
      </c>
      <c r="L106" s="4" t="inlineStr">
        <is>
          <t>Osa na horní části zad, sedni do dřepu. Hrudník vzpřímeně, kolena ven.</t>
        </is>
      </c>
      <c r="M106" s="3" t="n"/>
      <c r="N106" s="3" t="inlineStr">
        <is>
          <t>opakování</t>
        </is>
      </c>
    </row>
    <row r="107">
      <c r="A107" s="3" t="inlineStr">
        <is>
          <t>Mrtvý tah s osou</t>
        </is>
      </c>
      <c r="B107" s="3" t="inlineStr">
        <is>
          <t>Barbell deadlift</t>
        </is>
      </c>
      <c r="C107" s="3" t="inlineStr">
        <is>
          <t>nohy</t>
        </is>
      </c>
      <c r="D107" s="3" t="inlineStr">
        <is>
          <t>pokročilý</t>
        </is>
      </c>
      <c r="E107" s="3" t="inlineStr">
        <is>
          <t>osa</t>
        </is>
      </c>
      <c r="F107" s="3" t="inlineStr">
        <is>
          <t>obojí</t>
        </is>
      </c>
      <c r="G107" s="3" t="inlineStr">
        <is>
          <t>CrossFit</t>
        </is>
      </c>
      <c r="H107" s="3" t="inlineStr">
        <is>
          <t>hlavní</t>
        </is>
      </c>
      <c r="I107" s="3" t="n">
        <v>5</v>
      </c>
      <c r="J107" s="3" t="inlineStr">
        <is>
          <t>záklon/předklon</t>
        </is>
      </c>
      <c r="K107" s="3" t="n">
        <v>8</v>
      </c>
      <c r="L107" s="4" t="inlineStr">
        <is>
          <t>Osa u holení, zvedni se zády rovnými. Kyčle tlač dopředu.</t>
        </is>
      </c>
      <c r="M107" s="3" t="n"/>
      <c r="N107" s="3" t="inlineStr">
        <is>
          <t>opakování</t>
        </is>
      </c>
    </row>
    <row r="108">
      <c r="A108" s="3" t="inlineStr">
        <is>
          <t>Tlak osy nad hlavu</t>
        </is>
      </c>
      <c r="B108" s="3" t="inlineStr">
        <is>
          <t>Strict press</t>
        </is>
      </c>
      <c r="C108" s="3" t="inlineStr">
        <is>
          <t>ramena</t>
        </is>
      </c>
      <c r="D108" s="3" t="inlineStr">
        <is>
          <t>pokročilý</t>
        </is>
      </c>
      <c r="E108" s="3" t="inlineStr">
        <is>
          <t>osa</t>
        </is>
      </c>
      <c r="F108" s="3" t="inlineStr">
        <is>
          <t>obojí</t>
        </is>
      </c>
      <c r="G108" s="3" t="inlineStr">
        <is>
          <t>CrossFit</t>
        </is>
      </c>
      <c r="H108" s="3" t="inlineStr">
        <is>
          <t>hlavní</t>
        </is>
      </c>
      <c r="I108" s="3" t="n">
        <v>5</v>
      </c>
      <c r="J108" s="3" t="inlineStr">
        <is>
          <t>tlak</t>
        </is>
      </c>
      <c r="K108" s="3" t="n">
        <v>8</v>
      </c>
      <c r="L108" s="4" t="inlineStr">
        <is>
          <t>Osa u ramen, vytlač ji nad hlavu. Hýždě a břicho napnuté.</t>
        </is>
      </c>
      <c r="M108" s="3" t="n"/>
      <c r="N108" s="3" t="inlineStr">
        <is>
          <t>opakování</t>
        </is>
      </c>
    </row>
    <row r="109">
      <c r="A109" s="3" t="inlineStr">
        <is>
          <t>Veslování na trenažéru</t>
        </is>
      </c>
      <c r="B109" s="3" t="inlineStr">
        <is>
          <t>Rowing machine</t>
        </is>
      </c>
      <c r="C109" s="3" t="inlineStr">
        <is>
          <t>celé tělo</t>
        </is>
      </c>
      <c r="D109" s="3" t="inlineStr">
        <is>
          <t>začátečník</t>
        </is>
      </c>
      <c r="E109" s="3" t="inlineStr">
        <is>
          <t>row</t>
        </is>
      </c>
      <c r="F109" s="3" t="inlineStr">
        <is>
          <t>uvnitř</t>
        </is>
      </c>
      <c r="G109" s="3" t="inlineStr">
        <is>
          <t>Tabata, CrossFit</t>
        </is>
      </c>
      <c r="H109" s="3" t="inlineStr">
        <is>
          <t>hlavní</t>
        </is>
      </c>
      <c r="I109" s="3" t="n">
        <v>1</v>
      </c>
      <c r="J109" s="3" t="inlineStr">
        <is>
          <t>tah</t>
        </is>
      </c>
      <c r="K109" s="3" t="n">
        <v>60</v>
      </c>
      <c r="L109" s="4" t="inlineStr">
        <is>
          <t>Odraz nohama, pak zády, nakonec přitáhni madlo k hrudi. Zpět opačně.</t>
        </is>
      </c>
      <c r="M109" s="3" t="n"/>
      <c r="N109" s="3" t="inlineStr">
        <is>
          <t>sekundy</t>
        </is>
      </c>
    </row>
    <row r="110">
      <c r="A110" s="3" t="inlineStr">
        <is>
          <t>Ski trenažér</t>
        </is>
      </c>
      <c r="B110" s="3" t="inlineStr">
        <is>
          <t>SkiErg</t>
        </is>
      </c>
      <c r="C110" s="3" t="inlineStr">
        <is>
          <t>celé tělo</t>
        </is>
      </c>
      <c r="D110" s="3" t="inlineStr">
        <is>
          <t>začátečník</t>
        </is>
      </c>
      <c r="E110" s="3" t="inlineStr">
        <is>
          <t>SkiErg</t>
        </is>
      </c>
      <c r="F110" s="3" t="inlineStr">
        <is>
          <t>uvnitř</t>
        </is>
      </c>
      <c r="G110" s="3" t="inlineStr">
        <is>
          <t>Tabata, CrossFit</t>
        </is>
      </c>
      <c r="H110" s="3" t="inlineStr">
        <is>
          <t>hlavní</t>
        </is>
      </c>
      <c r="I110" s="3" t="n">
        <v>1</v>
      </c>
      <c r="J110" s="3" t="inlineStr">
        <is>
          <t>tah</t>
        </is>
      </c>
      <c r="K110" s="3" t="n">
        <v>60</v>
      </c>
      <c r="L110" s="4" t="inlineStr">
        <is>
          <t>Strhni madla od hlavy ke stehnům, zapoj trup a kolena. Plynule.</t>
        </is>
      </c>
      <c r="M110" s="3" t="n"/>
      <c r="N110" s="3" t="inlineStr">
        <is>
          <t>sekundy</t>
        </is>
      </c>
    </row>
    <row r="111">
      <c r="A111" s="3" t="inlineStr">
        <is>
          <t>Jízda na air bike</t>
        </is>
      </c>
      <c r="B111" s="3" t="inlineStr">
        <is>
          <t>Air bike</t>
        </is>
      </c>
      <c r="C111" s="3" t="inlineStr">
        <is>
          <t>nohy</t>
        </is>
      </c>
      <c r="D111" s="3" t="inlineStr">
        <is>
          <t>začátečník</t>
        </is>
      </c>
      <c r="E111" s="3" t="inlineStr">
        <is>
          <t>bike</t>
        </is>
      </c>
      <c r="F111" s="3" t="inlineStr">
        <is>
          <t>uvnitř</t>
        </is>
      </c>
      <c r="G111" s="3" t="inlineStr">
        <is>
          <t>Tabata, CrossFit</t>
        </is>
      </c>
      <c r="H111" s="3" t="inlineStr">
        <is>
          <t>hlavní</t>
        </is>
      </c>
      <c r="I111" s="3" t="n">
        <v>1</v>
      </c>
      <c r="J111" s="3" t="inlineStr">
        <is>
          <t>jiné</t>
        </is>
      </c>
      <c r="K111" s="3" t="n">
        <v>60</v>
      </c>
      <c r="L111" s="4" t="inlineStr">
        <is>
          <t>Šlapej a zapoj i paže. Tempo drž rovnoměrně.</t>
        </is>
      </c>
      <c r="M111" s="3" t="n"/>
      <c r="N111" s="3" t="inlineStr">
        <is>
          <t>sekundy</t>
        </is>
      </c>
    </row>
    <row r="112">
      <c r="A112" s="3" t="inlineStr">
        <is>
          <t>Sprint na echo bike</t>
        </is>
      </c>
      <c r="B112" s="3" t="inlineStr">
        <is>
          <t>Echo bike sprint</t>
        </is>
      </c>
      <c r="C112" s="3" t="inlineStr">
        <is>
          <t>celé tělo</t>
        </is>
      </c>
      <c r="D112" s="3" t="inlineStr">
        <is>
          <t>pokročilý</t>
        </is>
      </c>
      <c r="E112" s="3" t="inlineStr">
        <is>
          <t>echo bike</t>
        </is>
      </c>
      <c r="F112" s="3" t="inlineStr">
        <is>
          <t>uvnitř</t>
        </is>
      </c>
      <c r="G112" s="3" t="inlineStr">
        <is>
          <t>Tabata, CrossFit</t>
        </is>
      </c>
      <c r="H112" s="3" t="inlineStr">
        <is>
          <t>hlavní</t>
        </is>
      </c>
      <c r="I112" s="3" t="n">
        <v>1</v>
      </c>
      <c r="J112" s="3" t="inlineStr">
        <is>
          <t>jiné</t>
        </is>
      </c>
      <c r="K112" s="3" t="n">
        <v>30</v>
      </c>
      <c r="L112" s="4" t="inlineStr">
        <is>
          <t>Šlapej a tlač madla naplno. Po intervalu zpomal.</t>
        </is>
      </c>
      <c r="M112" s="3" t="n"/>
      <c r="N112" s="3" t="inlineStr">
        <is>
          <t>sekundy</t>
        </is>
      </c>
    </row>
    <row r="113">
      <c r="A113" s="3" t="inlineStr">
        <is>
          <t>Dřep s pytlem</t>
        </is>
      </c>
      <c r="B113" s="3" t="inlineStr">
        <is>
          <t>Sandbag squat</t>
        </is>
      </c>
      <c r="C113" s="3" t="inlineStr">
        <is>
          <t>nohy</t>
        </is>
      </c>
      <c r="D113" s="3" t="inlineStr">
        <is>
          <t>začátečník</t>
        </is>
      </c>
      <c r="E113" s="3" t="inlineStr">
        <is>
          <t>sandbag</t>
        </is>
      </c>
      <c r="F113" s="3" t="inlineStr">
        <is>
          <t>obojí</t>
        </is>
      </c>
      <c r="G113" s="3" t="inlineStr">
        <is>
          <t>Tabata, CrossFit</t>
        </is>
      </c>
      <c r="H113" s="3" t="inlineStr">
        <is>
          <t>hlavní</t>
        </is>
      </c>
      <c r="I113" s="3" t="n">
        <v>3</v>
      </c>
      <c r="J113" s="3" t="inlineStr">
        <is>
          <t>dřep</t>
        </is>
      </c>
      <c r="K113" s="3" t="n">
        <v>12</v>
      </c>
      <c r="L113" s="4" t="inlineStr">
        <is>
          <t>Pytel drž u hrudi, sedni do dřepu. Záda rovná.</t>
        </is>
      </c>
      <c r="M113" s="3" t="n"/>
      <c r="N113" s="3" t="inlineStr">
        <is>
          <t>opakování</t>
        </is>
      </c>
    </row>
    <row r="114">
      <c r="A114" s="3" t="inlineStr">
        <is>
          <t>Zvedání pytle na rameno</t>
        </is>
      </c>
      <c r="B114" s="3" t="inlineStr">
        <is>
          <t>Sandbag shouldering</t>
        </is>
      </c>
      <c r="C114" s="3" t="inlineStr">
        <is>
          <t>celé tělo</t>
        </is>
      </c>
      <c r="D114" s="3" t="inlineStr">
        <is>
          <t>pokročilý</t>
        </is>
      </c>
      <c r="E114" s="3" t="inlineStr">
        <is>
          <t>sandbag</t>
        </is>
      </c>
      <c r="F114" s="3" t="inlineStr">
        <is>
          <t>obojí</t>
        </is>
      </c>
      <c r="G114" s="3" t="inlineStr">
        <is>
          <t>CrossFit</t>
        </is>
      </c>
      <c r="H114" s="3" t="inlineStr">
        <is>
          <t>hlavní</t>
        </is>
      </c>
      <c r="I114" s="3" t="n">
        <v>4</v>
      </c>
      <c r="J114" s="3" t="inlineStr">
        <is>
          <t>záklon/předklon</t>
        </is>
      </c>
      <c r="K114" s="3" t="n">
        <v>8</v>
      </c>
      <c r="L114" s="4" t="inlineStr">
        <is>
          <t>Pytel zvedni ze země na rameno a polož zpět. Střídej strany.</t>
        </is>
      </c>
      <c r="M114" s="3" t="n"/>
      <c r="N114" s="3" t="inlineStr">
        <is>
          <t>opakování</t>
        </is>
      </c>
    </row>
    <row r="115">
      <c r="A115" s="3" t="inlineStr">
        <is>
          <t>Dřep na bosu</t>
        </is>
      </c>
      <c r="B115" s="3" t="inlineStr">
        <is>
          <t>Bosu squat</t>
        </is>
      </c>
      <c r="C115" s="3" t="inlineStr">
        <is>
          <t>nohy</t>
        </is>
      </c>
      <c r="D115" s="3" t="inlineStr">
        <is>
          <t>začátečník</t>
        </is>
      </c>
      <c r="E115" s="3" t="inlineStr">
        <is>
          <t>bosu</t>
        </is>
      </c>
      <c r="F115" s="3" t="inlineStr">
        <is>
          <t>uvnitř</t>
        </is>
      </c>
      <c r="G115" s="3" t="inlineStr">
        <is>
          <t>Tabata, TRX, CrossFit</t>
        </is>
      </c>
      <c r="H115" s="3" t="inlineStr">
        <is>
          <t>rozcvička, hlavní</t>
        </is>
      </c>
      <c r="I115" s="3" t="n">
        <v>2</v>
      </c>
      <c r="J115" s="3" t="inlineStr">
        <is>
          <t>dřep</t>
        </is>
      </c>
      <c r="K115" s="3" t="n">
        <v>12</v>
      </c>
      <c r="L115" s="4" t="inlineStr">
        <is>
          <t>Postav se na bosu, sedni do dřepu. Stabilní trup.</t>
        </is>
      </c>
      <c r="M115" s="3" t="n"/>
      <c r="N115" s="3" t="inlineStr">
        <is>
          <t>opakování</t>
        </is>
      </c>
    </row>
    <row r="116">
      <c r="A116" s="3" t="inlineStr">
        <is>
          <t>Klik na bosu</t>
        </is>
      </c>
      <c r="B116" s="3" t="inlineStr">
        <is>
          <t>Bosu push-up</t>
        </is>
      </c>
      <c r="C116" s="3" t="inlineStr">
        <is>
          <t>hrudník</t>
        </is>
      </c>
      <c r="D116" s="3" t="inlineStr">
        <is>
          <t>pokročilý</t>
        </is>
      </c>
      <c r="E116" s="3" t="inlineStr">
        <is>
          <t>bosu</t>
        </is>
      </c>
      <c r="F116" s="3" t="inlineStr">
        <is>
          <t>uvnitř</t>
        </is>
      </c>
      <c r="G116" s="3" t="inlineStr">
        <is>
          <t>CrossFit</t>
        </is>
      </c>
      <c r="H116" s="3" t="inlineStr">
        <is>
          <t>hlavní</t>
        </is>
      </c>
      <c r="I116" s="3" t="n">
        <v>4</v>
      </c>
      <c r="J116" s="3" t="inlineStr">
        <is>
          <t>tlak</t>
        </is>
      </c>
      <c r="K116" s="3" t="n">
        <v>10</v>
      </c>
      <c r="L116" s="4" t="inlineStr">
        <is>
          <t>Ruce na bosu, tělo v linii, hrudník dolů. Vytlač zpět.</t>
        </is>
      </c>
      <c r="M116" s="3" t="n"/>
      <c r="N116" s="3" t="inlineStr">
        <is>
          <t>opakování</t>
        </is>
      </c>
    </row>
    <row r="117">
      <c r="A117" s="3" t="inlineStr">
        <is>
          <t>Kolečko kotouče kolem hlavy</t>
        </is>
      </c>
      <c r="B117" s="3" t="inlineStr">
        <is>
          <t>Plate halo</t>
        </is>
      </c>
      <c r="C117" s="3" t="inlineStr">
        <is>
          <t>ramena</t>
        </is>
      </c>
      <c r="D117" s="3" t="inlineStr">
        <is>
          <t>začátečník</t>
        </is>
      </c>
      <c r="E117" s="3" t="inlineStr">
        <is>
          <t>kotouče</t>
        </is>
      </c>
      <c r="F117" s="3" t="inlineStr">
        <is>
          <t>obojí</t>
        </is>
      </c>
      <c r="G117" s="3" t="inlineStr">
        <is>
          <t>Tabata, CrossFit</t>
        </is>
      </c>
      <c r="H117" s="3" t="inlineStr">
        <is>
          <t>rozcvička, hlavní</t>
        </is>
      </c>
      <c r="I117" s="3" t="n">
        <v>3</v>
      </c>
      <c r="J117" s="3" t="inlineStr">
        <is>
          <t>jiné</t>
        </is>
      </c>
      <c r="K117" s="3" t="n">
        <v>10</v>
      </c>
      <c r="L117" s="4" t="inlineStr">
        <is>
          <t>Drž kotouč před hrudí, krouž ho kolem hlavy. Lokty u těla.</t>
        </is>
      </c>
      <c r="M117" s="3" t="n"/>
      <c r="N117" s="3" t="inlineStr">
        <is>
          <t>opakování</t>
        </is>
      </c>
    </row>
    <row r="118">
      <c r="A118" s="3" t="inlineStr">
        <is>
          <t>Výpad s kotoučem nad hlavou</t>
        </is>
      </c>
      <c r="B118" s="3" t="inlineStr">
        <is>
          <t>Overhead plate lunge</t>
        </is>
      </c>
      <c r="C118" s="3" t="inlineStr">
        <is>
          <t>nohy</t>
        </is>
      </c>
      <c r="D118" s="3" t="inlineStr">
        <is>
          <t>pokročilý</t>
        </is>
      </c>
      <c r="E118" s="3" t="inlineStr">
        <is>
          <t>kotouče</t>
        </is>
      </c>
      <c r="F118" s="3" t="inlineStr">
        <is>
          <t>obojí</t>
        </is>
      </c>
      <c r="G118" s="3" t="inlineStr">
        <is>
          <t>CrossFit</t>
        </is>
      </c>
      <c r="H118" s="3" t="inlineStr">
        <is>
          <t>hlavní</t>
        </is>
      </c>
      <c r="I118" s="3" t="n">
        <v>3</v>
      </c>
      <c r="J118" s="3" t="inlineStr">
        <is>
          <t>výpad</t>
        </is>
      </c>
      <c r="K118" s="3" t="n">
        <v>10</v>
      </c>
      <c r="L118" s="4" t="inlineStr">
        <is>
          <t>Kotouč drž nad hlavou a jdi do výpadu. Paže propnuté.</t>
        </is>
      </c>
      <c r="M118" s="3" t="n"/>
      <c r="N118" s="3" t="inlineStr">
        <is>
          <t>opakování</t>
        </is>
      </c>
    </row>
    <row r="119">
      <c r="A119" s="3" t="inlineStr">
        <is>
          <t>Nášlapy na stepper</t>
        </is>
      </c>
      <c r="B119" s="3" t="inlineStr">
        <is>
          <t>Step touch</t>
        </is>
      </c>
      <c r="C119" s="3" t="inlineStr">
        <is>
          <t>nohy</t>
        </is>
      </c>
      <c r="D119" s="3" t="inlineStr">
        <is>
          <t>začátečník</t>
        </is>
      </c>
      <c r="E119" s="3" t="inlineStr">
        <is>
          <t>stepper</t>
        </is>
      </c>
      <c r="F119" s="3" t="inlineStr">
        <is>
          <t>obojí</t>
        </is>
      </c>
      <c r="G119" s="3" t="inlineStr">
        <is>
          <t>Tabata, TRX, CrossFit</t>
        </is>
      </c>
      <c r="H119" s="3" t="inlineStr">
        <is>
          <t>rozcvička</t>
        </is>
      </c>
      <c r="I119" s="3" t="n">
        <v>1</v>
      </c>
      <c r="J119" s="3" t="inlineStr">
        <is>
          <t>jiné</t>
        </is>
      </c>
      <c r="K119" s="3" t="n">
        <v>30</v>
      </c>
      <c r="L119" s="4" t="inlineStr">
        <is>
          <t>Střídavě našlapuj na nízkou bednu. Plynule, na špičky.</t>
        </is>
      </c>
      <c r="M119" s="3" t="n"/>
      <c r="N119" s="3" t="inlineStr">
        <is>
          <t>opakování</t>
        </is>
      </c>
    </row>
    <row r="120">
      <c r="A120" s="3" t="inlineStr">
        <is>
          <t>Klik s rukama na stepperu</t>
        </is>
      </c>
      <c r="B120" s="3" t="inlineStr">
        <is>
          <t>Elevated push-up</t>
        </is>
      </c>
      <c r="C120" s="3" t="inlineStr">
        <is>
          <t>hrudník</t>
        </is>
      </c>
      <c r="D120" s="3" t="inlineStr">
        <is>
          <t>začátečník</t>
        </is>
      </c>
      <c r="E120" s="3" t="inlineStr">
        <is>
          <t>stepper</t>
        </is>
      </c>
      <c r="F120" s="3" t="inlineStr">
        <is>
          <t>obojí</t>
        </is>
      </c>
      <c r="G120" s="3" t="inlineStr">
        <is>
          <t>Tabata, CrossFit</t>
        </is>
      </c>
      <c r="H120" s="3" t="inlineStr">
        <is>
          <t>hlavní</t>
        </is>
      </c>
      <c r="I120" s="3" t="n">
        <v>4</v>
      </c>
      <c r="J120" s="3" t="inlineStr">
        <is>
          <t>tlak</t>
        </is>
      </c>
      <c r="K120" s="3" t="n">
        <v>12</v>
      </c>
      <c r="L120" s="4" t="inlineStr">
        <is>
          <t>Ruce na nízké bedně, tělo v linii. Hrudník k bedně.</t>
        </is>
      </c>
      <c r="M120" s="3" t="n"/>
      <c r="N120" s="3" t="inlineStr">
        <is>
          <t>opakování</t>
        </is>
      </c>
    </row>
    <row r="121">
      <c r="A121" s="3" t="inlineStr">
        <is>
          <t>Rollout s kolečkem na kolenou</t>
        </is>
      </c>
      <c r="B121" s="3" t="inlineStr">
        <is>
          <t>Ab wheel rollout</t>
        </is>
      </c>
      <c r="C121" s="3" t="inlineStr">
        <is>
          <t>core</t>
        </is>
      </c>
      <c r="D121" s="3" t="inlineStr">
        <is>
          <t>pokročilý</t>
        </is>
      </c>
      <c r="E121" s="3" t="inlineStr">
        <is>
          <t>roller</t>
        </is>
      </c>
      <c r="F121" s="3" t="inlineStr">
        <is>
          <t>obojí</t>
        </is>
      </c>
      <c r="G121" s="3" t="inlineStr">
        <is>
          <t>Tabata, CrossFit</t>
        </is>
      </c>
      <c r="H121" s="3" t="inlineStr">
        <is>
          <t>hlavní</t>
        </is>
      </c>
      <c r="I121" s="3" t="n">
        <v>4</v>
      </c>
      <c r="J121" s="3" t="inlineStr">
        <is>
          <t>jiné</t>
        </is>
      </c>
      <c r="K121" s="3" t="n">
        <v>8</v>
      </c>
      <c r="L121" s="4" t="inlineStr">
        <is>
          <t>Odvaluj kolečko dopředu, bedra neprohýbej. Zpět silou břicha.</t>
        </is>
      </c>
      <c r="M121" s="3" t="n"/>
      <c r="N121" s="3" t="inlineStr">
        <is>
          <t>opakování</t>
        </is>
      </c>
    </row>
    <row r="122">
      <c r="A122" s="3" t="inlineStr">
        <is>
          <t>Rollout s kolečkem ve stoje</t>
        </is>
      </c>
      <c r="B122" s="3" t="inlineStr">
        <is>
          <t>Standing ab wheel rollout</t>
        </is>
      </c>
      <c r="C122" s="3" t="inlineStr">
        <is>
          <t>core</t>
        </is>
      </c>
      <c r="D122" s="3" t="inlineStr">
        <is>
          <t>expert</t>
        </is>
      </c>
      <c r="E122" s="3" t="inlineStr">
        <is>
          <t>roller</t>
        </is>
      </c>
      <c r="F122" s="3" t="inlineStr">
        <is>
          <t>obojí</t>
        </is>
      </c>
      <c r="G122" s="3" t="inlineStr">
        <is>
          <t>CrossFit</t>
        </is>
      </c>
      <c r="H122" s="3" t="inlineStr">
        <is>
          <t>hlavní</t>
        </is>
      </c>
      <c r="I122" s="3" t="n">
        <v>5</v>
      </c>
      <c r="J122" s="3" t="inlineStr">
        <is>
          <t>jiné</t>
        </is>
      </c>
      <c r="K122" s="3" t="n">
        <v>5</v>
      </c>
      <c r="L122" s="4" t="inlineStr">
        <is>
          <t>Ze stoje odvaluj kolečko až k zemi. Zpět silou břicha.</t>
        </is>
      </c>
      <c r="M122" s="3" t="n"/>
      <c r="N122" s="3" t="inlineStr">
        <is>
          <t>opakování</t>
        </is>
      </c>
    </row>
    <row r="123">
      <c r="A123" s="3" t="inlineStr">
        <is>
          <t>TRX klik ve stoje</t>
        </is>
      </c>
      <c r="B123" s="3" t="inlineStr">
        <is>
          <t>TRX incline push-up</t>
        </is>
      </c>
      <c r="C123" s="3" t="inlineStr">
        <is>
          <t>hrudník</t>
        </is>
      </c>
      <c r="D123" s="3" t="inlineStr">
        <is>
          <t>začátečník</t>
        </is>
      </c>
      <c r="E123" s="3" t="inlineStr">
        <is>
          <t>TRX</t>
        </is>
      </c>
      <c r="F123" s="3" t="inlineStr">
        <is>
          <t>obojí</t>
        </is>
      </c>
      <c r="G123" s="3" t="inlineStr">
        <is>
          <t>TRX</t>
        </is>
      </c>
      <c r="H123" s="3" t="inlineStr">
        <is>
          <t>hlavní</t>
        </is>
      </c>
      <c r="I123" s="3" t="n">
        <v>3</v>
      </c>
      <c r="J123" s="3" t="inlineStr">
        <is>
          <t>tlak</t>
        </is>
      </c>
      <c r="K123" s="3" t="n">
        <v>12</v>
      </c>
      <c r="L123" s="4" t="inlineStr">
        <is>
          <t>Drž madla ve výšce hrudi, tělo nakloň dopředu v rovné linii. Hrudník přibliž k madlům a vytlač zpět.</t>
        </is>
      </c>
      <c r="M123" s="3" t="n"/>
      <c r="N123" s="3" t="inlineStr">
        <is>
          <t>opakování</t>
        </is>
      </c>
    </row>
    <row r="124">
      <c r="A124" s="3" t="inlineStr">
        <is>
          <t>TRX klik s nohama v madlech</t>
        </is>
      </c>
      <c r="B124" s="3" t="inlineStr">
        <is>
          <t>TRX feet-elevated push-up</t>
        </is>
      </c>
      <c r="C124" s="3" t="inlineStr">
        <is>
          <t>hrudník</t>
        </is>
      </c>
      <c r="D124" s="3" t="inlineStr">
        <is>
          <t>expert</t>
        </is>
      </c>
      <c r="E124" s="3" t="inlineStr">
        <is>
          <t>TRX</t>
        </is>
      </c>
      <c r="F124" s="3" t="inlineStr">
        <is>
          <t>obojí</t>
        </is>
      </c>
      <c r="G124" s="3" t="inlineStr">
        <is>
          <t>TRX</t>
        </is>
      </c>
      <c r="H124" s="3" t="inlineStr">
        <is>
          <t>hlavní</t>
        </is>
      </c>
      <c r="I124" s="3" t="n">
        <v>4</v>
      </c>
      <c r="J124" s="3" t="inlineStr">
        <is>
          <t>tlak</t>
        </is>
      </c>
      <c r="K124" s="3" t="n">
        <v>8</v>
      </c>
      <c r="L124" s="4" t="inlineStr">
        <is>
          <t>Nohy v madlech, ruce na zemi pod rameny. Tělo v linii, hrudník k zemi a vytlač zpět.</t>
        </is>
      </c>
      <c r="M124" s="3" t="n"/>
      <c r="N124" s="3" t="inlineStr">
        <is>
          <t>opakování</t>
        </is>
      </c>
    </row>
    <row r="125">
      <c r="A125" s="3" t="inlineStr">
        <is>
          <t>TRX rozpažení ve stoje</t>
        </is>
      </c>
      <c r="B125" s="3" t="inlineStr">
        <is>
          <t>TRX standing chest fly</t>
        </is>
      </c>
      <c r="C125" s="3" t="inlineStr">
        <is>
          <t>hrudník</t>
        </is>
      </c>
      <c r="D125" s="3" t="inlineStr">
        <is>
          <t>začátečník</t>
        </is>
      </c>
      <c r="E125" s="3" t="inlineStr">
        <is>
          <t>TRX</t>
        </is>
      </c>
      <c r="F125" s="3" t="inlineStr">
        <is>
          <t>obojí</t>
        </is>
      </c>
      <c r="G125" s="3" t="inlineStr">
        <is>
          <t>TRX</t>
        </is>
      </c>
      <c r="H125" s="3" t="inlineStr">
        <is>
          <t>hlavní</t>
        </is>
      </c>
      <c r="I125" s="3" t="n">
        <v>3</v>
      </c>
      <c r="J125" s="3" t="inlineStr">
        <is>
          <t>tlak</t>
        </is>
      </c>
      <c r="K125" s="3" t="n">
        <v>12</v>
      </c>
      <c r="L125" s="4" t="inlineStr">
        <is>
          <t>Čelem od ukotvení drž madla s rozpaženými pažemi. Spojuj paže před hrudníkem, lokty lehce pokrčené.</t>
        </is>
      </c>
      <c r="M125" s="3" t="n"/>
      <c r="N125" s="3" t="inlineStr">
        <is>
          <t>opakování</t>
        </is>
      </c>
    </row>
    <row r="126">
      <c r="A126" s="3" t="inlineStr">
        <is>
          <t>TRX pike klik</t>
        </is>
      </c>
      <c r="B126" s="3" t="inlineStr">
        <is>
          <t>TRX pike push-up</t>
        </is>
      </c>
      <c r="C126" s="3" t="inlineStr">
        <is>
          <t>ramena</t>
        </is>
      </c>
      <c r="D126" s="3" t="inlineStr">
        <is>
          <t>expert</t>
        </is>
      </c>
      <c r="E126" s="3" t="inlineStr">
        <is>
          <t>TRX</t>
        </is>
      </c>
      <c r="F126" s="3" t="inlineStr">
        <is>
          <t>obojí</t>
        </is>
      </c>
      <c r="G126" s="3" t="inlineStr">
        <is>
          <t>TRX</t>
        </is>
      </c>
      <c r="H126" s="3" t="inlineStr">
        <is>
          <t>hlavní</t>
        </is>
      </c>
      <c r="I126" s="3" t="n">
        <v>4</v>
      </c>
      <c r="J126" s="3" t="inlineStr">
        <is>
          <t>tlak</t>
        </is>
      </c>
      <c r="K126" s="3" t="n">
        <v>6</v>
      </c>
      <c r="L126" s="4" t="inlineStr">
        <is>
          <t>Nohy v madlech, kyčle zvedni vysoko. Hlavu spusť mezi ruce a vytlač zpět.</t>
        </is>
      </c>
      <c r="M126" s="3" t="n"/>
      <c r="N126" s="3" t="inlineStr">
        <is>
          <t>opakování</t>
        </is>
      </c>
    </row>
    <row r="127">
      <c r="A127" s="3" t="inlineStr">
        <is>
          <t>TRX W zdvih</t>
        </is>
      </c>
      <c r="B127" s="3" t="inlineStr">
        <is>
          <t>TRX W raise</t>
        </is>
      </c>
      <c r="C127" s="3" t="inlineStr">
        <is>
          <t>ramena</t>
        </is>
      </c>
      <c r="D127" s="3" t="inlineStr">
        <is>
          <t>začátečník</t>
        </is>
      </c>
      <c r="E127" s="3" t="inlineStr">
        <is>
          <t>TRX</t>
        </is>
      </c>
      <c r="F127" s="3" t="inlineStr">
        <is>
          <t>obojí</t>
        </is>
      </c>
      <c r="G127" s="3" t="inlineStr">
        <is>
          <t>TRX</t>
        </is>
      </c>
      <c r="H127" s="3" t="inlineStr">
        <is>
          <t>hlavní</t>
        </is>
      </c>
      <c r="I127" s="3" t="n">
        <v>3</v>
      </c>
      <c r="J127" s="3" t="inlineStr">
        <is>
          <t>tah</t>
        </is>
      </c>
      <c r="K127" s="3" t="n">
        <v>12</v>
      </c>
      <c r="L127" s="4" t="inlineStr">
        <is>
          <t>V předklonu drž madla, lokty ohni do tvaru W. Lopatky stáhni k sobě.</t>
        </is>
      </c>
      <c r="M127" s="3" t="n"/>
      <c r="N127" s="3" t="inlineStr">
        <is>
          <t>opakování</t>
        </is>
      </c>
    </row>
    <row r="128">
      <c r="A128" s="3" t="inlineStr">
        <is>
          <t>TRX dřep s přítahem</t>
        </is>
      </c>
      <c r="B128" s="3" t="inlineStr">
        <is>
          <t>TRX squat to row</t>
        </is>
      </c>
      <c r="C128" s="3" t="inlineStr">
        <is>
          <t>celé tělo</t>
        </is>
      </c>
      <c r="D128" s="3" t="inlineStr">
        <is>
          <t>začátečník</t>
        </is>
      </c>
      <c r="E128" s="3" t="inlineStr">
        <is>
          <t>TRX</t>
        </is>
      </c>
      <c r="F128" s="3" t="inlineStr">
        <is>
          <t>obojí</t>
        </is>
      </c>
      <c r="G128" s="3" t="inlineStr">
        <is>
          <t>TRX</t>
        </is>
      </c>
      <c r="H128" s="3" t="inlineStr">
        <is>
          <t>hlavní</t>
        </is>
      </c>
      <c r="I128" s="3" t="n">
        <v>3</v>
      </c>
      <c r="J128" s="3" t="inlineStr">
        <is>
          <t>dřep</t>
        </is>
      </c>
      <c r="K128" s="3" t="n">
        <v>12</v>
      </c>
      <c r="L128" s="4" t="inlineStr">
        <is>
          <t>Sedni do dřepu s nataženými pažemi. Při vstávání přitáhni madla k hrudi.</t>
        </is>
      </c>
      <c r="M128" s="3" t="n"/>
      <c r="N128" s="3" t="inlineStr">
        <is>
          <t>opakování</t>
        </is>
      </c>
    </row>
    <row r="129">
      <c r="A129" s="3" t="inlineStr">
        <is>
          <t>TRX výskok z dřepu</t>
        </is>
      </c>
      <c r="B129" s="3" t="inlineStr">
        <is>
          <t>TRX jump squat</t>
        </is>
      </c>
      <c r="C129" s="3" t="inlineStr">
        <is>
          <t>nohy</t>
        </is>
      </c>
      <c r="D129" s="3" t="inlineStr">
        <is>
          <t>pokročilý</t>
        </is>
      </c>
      <c r="E129" s="3" t="inlineStr">
        <is>
          <t>TRX</t>
        </is>
      </c>
      <c r="F129" s="3" t="inlineStr">
        <is>
          <t>obojí</t>
        </is>
      </c>
      <c r="G129" s="3" t="inlineStr">
        <is>
          <t>Tabata, TRX</t>
        </is>
      </c>
      <c r="H129" s="3" t="inlineStr">
        <is>
          <t>hlavní</t>
        </is>
      </c>
      <c r="I129" s="3" t="n">
        <v>2</v>
      </c>
      <c r="J129" s="3" t="inlineStr">
        <is>
          <t>skok</t>
        </is>
      </c>
      <c r="K129" s="3" t="n">
        <v>10</v>
      </c>
      <c r="L129" s="4" t="inlineStr">
        <is>
          <t>Drž madla pro stabilitu, sedni do dřepu a výskokem se odraz. Dopadni měkce.</t>
        </is>
      </c>
      <c r="M129" s="3" t="n"/>
      <c r="N129" s="3" t="inlineStr">
        <is>
          <t>opakování</t>
        </is>
      </c>
    </row>
    <row r="130">
      <c r="A130" s="3" t="inlineStr">
        <is>
          <t>TRX rotace trupu</t>
        </is>
      </c>
      <c r="B130" s="3" t="inlineStr">
        <is>
          <t>TRX standing rotation</t>
        </is>
      </c>
      <c r="C130" s="3" t="inlineStr">
        <is>
          <t>core</t>
        </is>
      </c>
      <c r="D130" s="3" t="inlineStr">
        <is>
          <t>začátečník</t>
        </is>
      </c>
      <c r="E130" s="3" t="inlineStr">
        <is>
          <t>TRX</t>
        </is>
      </c>
      <c r="F130" s="3" t="inlineStr">
        <is>
          <t>obojí</t>
        </is>
      </c>
      <c r="G130" s="3" t="inlineStr">
        <is>
          <t>TRX</t>
        </is>
      </c>
      <c r="H130" s="3" t="inlineStr">
        <is>
          <t>hlavní</t>
        </is>
      </c>
      <c r="I130" s="3" t="n">
        <v>3</v>
      </c>
      <c r="J130" s="3" t="inlineStr">
        <is>
          <t>rotace</t>
        </is>
      </c>
      <c r="K130" s="3" t="n">
        <v>10</v>
      </c>
      <c r="L130" s="4" t="inlineStr">
        <is>
          <t>Stoj bokem k ukotvení, madla drž před hrudí. Otáčej trup od ukotvení, boky drž pevně.</t>
        </is>
      </c>
      <c r="M130" s="3" t="n"/>
      <c r="N130" s="3" t="inlineStr">
        <is>
          <t>opakování</t>
        </is>
      </c>
    </row>
    <row r="131">
      <c r="A131" s="3" t="inlineStr">
        <is>
          <t>TRX boční prkno</t>
        </is>
      </c>
      <c r="B131" s="3" t="inlineStr">
        <is>
          <t>TRX side plank</t>
        </is>
      </c>
      <c r="C131" s="3" t="inlineStr">
        <is>
          <t>core</t>
        </is>
      </c>
      <c r="D131" s="3" t="inlineStr">
        <is>
          <t>pokročilý</t>
        </is>
      </c>
      <c r="E131" s="3" t="inlineStr">
        <is>
          <t>TRX</t>
        </is>
      </c>
      <c r="F131" s="3" t="inlineStr">
        <is>
          <t>obojí</t>
        </is>
      </c>
      <c r="G131" s="3" t="inlineStr">
        <is>
          <t>TRX</t>
        </is>
      </c>
      <c r="H131" s="3" t="inlineStr">
        <is>
          <t>hlavní</t>
        </is>
      </c>
      <c r="I131" s="3" t="n">
        <v>3</v>
      </c>
      <c r="J131" s="3" t="inlineStr">
        <is>
          <t>jiné</t>
        </is>
      </c>
      <c r="K131" s="3" t="n">
        <v>20</v>
      </c>
      <c r="L131" s="4" t="inlineStr">
        <is>
          <t>Spodní noha v madle, opři se o předloktí a zvedni boky. Tělo v jedné linii.</t>
        </is>
      </c>
      <c r="M131" s="3" t="n"/>
      <c r="N131" s="3" t="inlineStr">
        <is>
          <t>sekundy</t>
        </is>
      </c>
    </row>
    <row r="132">
      <c r="A132" s="3" t="inlineStr">
        <is>
          <t>TRX předklon z kyčlí</t>
        </is>
      </c>
      <c r="B132" s="3" t="inlineStr">
        <is>
          <t>TRX hip hinge</t>
        </is>
      </c>
      <c r="C132" s="3" t="inlineStr">
        <is>
          <t>záda</t>
        </is>
      </c>
      <c r="D132" s="3" t="inlineStr">
        <is>
          <t>začátečník</t>
        </is>
      </c>
      <c r="E132" s="3" t="inlineStr">
        <is>
          <t>TRX</t>
        </is>
      </c>
      <c r="F132" s="3" t="inlineStr">
        <is>
          <t>obojí</t>
        </is>
      </c>
      <c r="G132" s="3" t="inlineStr">
        <is>
          <t>TRX</t>
        </is>
      </c>
      <c r="H132" s="3" t="inlineStr">
        <is>
          <t>hlavní</t>
        </is>
      </c>
      <c r="I132" s="3" t="n">
        <v>3</v>
      </c>
      <c r="J132" s="3" t="inlineStr">
        <is>
          <t>záklon/předklon</t>
        </is>
      </c>
      <c r="K132" s="3" t="n">
        <v>12</v>
      </c>
      <c r="L132" s="4" t="inlineStr">
        <is>
          <t>Drž madla a sklop trup z kyčlí vzad. Záda rovná, kolena lehce pokrčená, vrať se hýžděmi.</t>
        </is>
      </c>
      <c r="M132" s="3" t="n"/>
      <c r="N132" s="3" t="inlineStr">
        <is>
          <t>opakování</t>
        </is>
      </c>
    </row>
    <row r="133">
      <c r="A133" s="3" t="inlineStr">
        <is>
          <t>TRX veslování s rotací</t>
        </is>
      </c>
      <c r="B133" s="3" t="inlineStr">
        <is>
          <t>TRX rotational row</t>
        </is>
      </c>
      <c r="C133" s="3" t="inlineStr">
        <is>
          <t>záda</t>
        </is>
      </c>
      <c r="D133" s="3" t="inlineStr">
        <is>
          <t>pokročilý</t>
        </is>
      </c>
      <c r="E133" s="3" t="inlineStr">
        <is>
          <t>TRX</t>
        </is>
      </c>
      <c r="F133" s="3" t="inlineStr">
        <is>
          <t>obojí</t>
        </is>
      </c>
      <c r="G133" s="3" t="inlineStr">
        <is>
          <t>TRX</t>
        </is>
      </c>
      <c r="H133" s="3" t="inlineStr">
        <is>
          <t>hlavní</t>
        </is>
      </c>
      <c r="I133" s="3" t="n">
        <v>4</v>
      </c>
      <c r="J133" s="3" t="inlineStr">
        <is>
          <t>tah</t>
        </is>
      </c>
      <c r="K133" s="3" t="n">
        <v>10</v>
      </c>
      <c r="L133" s="4" t="inlineStr">
        <is>
          <t>Drž madla, při přítahu otoč trup k jedné straně. Střídej strany.</t>
        </is>
      </c>
      <c r="M133" s="3" t="n"/>
      <c r="N133" s="3" t="inlineStr">
        <is>
          <t>opakování</t>
        </is>
      </c>
    </row>
    <row r="134">
      <c r="A134" s="3" t="inlineStr">
        <is>
          <t>TRX biceps na jedné ruce</t>
        </is>
      </c>
      <c r="B134" s="3" t="inlineStr">
        <is>
          <t>TRX single-arm curl</t>
        </is>
      </c>
      <c r="C134" s="3" t="inlineStr">
        <is>
          <t>paže</t>
        </is>
      </c>
      <c r="D134" s="3" t="inlineStr">
        <is>
          <t>expert</t>
        </is>
      </c>
      <c r="E134" s="3" t="inlineStr">
        <is>
          <t>TRX</t>
        </is>
      </c>
      <c r="F134" s="3" t="inlineStr">
        <is>
          <t>obojí</t>
        </is>
      </c>
      <c r="G134" s="3" t="inlineStr">
        <is>
          <t>TRX</t>
        </is>
      </c>
      <c r="H134" s="3" t="inlineStr">
        <is>
          <t>hlavní</t>
        </is>
      </c>
      <c r="I134" s="3" t="n">
        <v>4</v>
      </c>
      <c r="J134" s="3" t="inlineStr">
        <is>
          <t>tah</t>
        </is>
      </c>
      <c r="K134" s="3" t="n">
        <v>8</v>
      </c>
      <c r="L134" s="4" t="inlineStr">
        <is>
          <t>Drž jedno madlo, přitáhni ruku k čelu. Loket nahoře, tělo nehoupej. Vyměň ruku.</t>
        </is>
      </c>
      <c r="M134" s="3" t="n"/>
      <c r="N134" s="3" t="inlineStr">
        <is>
          <t>opakování</t>
        </is>
      </c>
    </row>
    <row r="135">
      <c r="A135" s="3" t="inlineStr">
        <is>
          <t>TRX výpad vpřed s oporou</t>
        </is>
      </c>
      <c r="B135" s="3" t="inlineStr">
        <is>
          <t>TRX assisted lunge</t>
        </is>
      </c>
      <c r="C135" s="3" t="inlineStr">
        <is>
          <t>nohy</t>
        </is>
      </c>
      <c r="D135" s="3" t="inlineStr">
        <is>
          <t>začátečník</t>
        </is>
      </c>
      <c r="E135" s="3" t="inlineStr">
        <is>
          <t>TRX</t>
        </is>
      </c>
      <c r="F135" s="3" t="inlineStr">
        <is>
          <t>obojí</t>
        </is>
      </c>
      <c r="G135" s="3" t="inlineStr">
        <is>
          <t>TRX</t>
        </is>
      </c>
      <c r="H135" s="3" t="inlineStr">
        <is>
          <t>hlavní</t>
        </is>
      </c>
      <c r="I135" s="3" t="n">
        <v>3</v>
      </c>
      <c r="J135" s="3" t="inlineStr">
        <is>
          <t>výpad</t>
        </is>
      </c>
      <c r="K135" s="3" t="n">
        <v>10</v>
      </c>
      <c r="L135" s="4" t="inlineStr">
        <is>
          <t>Drž madla pro rovnováhu a udělej krok vpřed do výpadu. Odraz se zpět.</t>
        </is>
      </c>
      <c r="M135" s="3" t="n"/>
      <c r="N135" s="3" t="inlineStr">
        <is>
          <t>opakování</t>
        </is>
      </c>
    </row>
    <row r="136">
      <c r="A136" s="3" t="inlineStr">
        <is>
          <t>TRX zvedání pánve</t>
        </is>
      </c>
      <c r="B136" s="3" t="inlineStr">
        <is>
          <t>TRX glute bridge</t>
        </is>
      </c>
      <c r="C136" s="3" t="inlineStr">
        <is>
          <t>nohy</t>
        </is>
      </c>
      <c r="D136" s="3" t="inlineStr">
        <is>
          <t>začátečník</t>
        </is>
      </c>
      <c r="E136" s="3" t="inlineStr">
        <is>
          <t>TRX</t>
        </is>
      </c>
      <c r="F136" s="3" t="inlineStr">
        <is>
          <t>obojí</t>
        </is>
      </c>
      <c r="G136" s="3" t="inlineStr">
        <is>
          <t>TRX</t>
        </is>
      </c>
      <c r="H136" s="3" t="inlineStr">
        <is>
          <t>hlavní</t>
        </is>
      </c>
      <c r="I136" s="3" t="n">
        <v>3</v>
      </c>
      <c r="J136" s="3" t="inlineStr">
        <is>
          <t>záklon/předklon</t>
        </is>
      </c>
      <c r="K136" s="3" t="n">
        <v>12</v>
      </c>
      <c r="L136" s="4" t="inlineStr">
        <is>
          <t>Vleže s patami v madlech zvedni pánev. Tělo v linii, hýždě stáhni.</t>
        </is>
      </c>
      <c r="M136" s="3" t="n"/>
      <c r="N136" s="3" t="inlineStr">
        <is>
          <t>opakování</t>
        </is>
      </c>
    </row>
    <row r="137">
      <c r="A137" s="3" t="inlineStr">
        <is>
          <t>Úzké kliky</t>
        </is>
      </c>
      <c r="B137" s="3" t="inlineStr">
        <is>
          <t>Diamond push-up</t>
        </is>
      </c>
      <c r="C137" s="3" t="inlineStr">
        <is>
          <t>paže</t>
        </is>
      </c>
      <c r="D137" s="3" t="inlineStr">
        <is>
          <t>pokročilý</t>
        </is>
      </c>
      <c r="E137" s="3" t="inlineStr">
        <is>
          <t>vlastní váha</t>
        </is>
      </c>
      <c r="F137" s="3" t="inlineStr">
        <is>
          <t>obojí</t>
        </is>
      </c>
      <c r="G137" s="3" t="inlineStr">
        <is>
          <t>Tabata, CrossFit</t>
        </is>
      </c>
      <c r="H137" s="3" t="inlineStr">
        <is>
          <t>hlavní</t>
        </is>
      </c>
      <c r="I137" s="3" t="n">
        <v>4</v>
      </c>
      <c r="J137" s="3" t="inlineStr">
        <is>
          <t>tlak</t>
        </is>
      </c>
      <c r="K137" s="3" t="n">
        <v>10</v>
      </c>
      <c r="L137" s="4" t="inlineStr">
        <is>
          <t>Ruce pod hrudníkem blízko u sebe, lokty u těla. Hrudník k rukám a vytlač.</t>
        </is>
      </c>
      <c r="M137" s="3" t="n"/>
      <c r="N137" s="3" t="inlineStr">
        <is>
          <t>opakování</t>
        </is>
      </c>
    </row>
    <row r="138">
      <c r="A138" s="3" t="inlineStr">
        <is>
          <t>Veslování s činkou jednoruč</t>
        </is>
      </c>
      <c r="B138" s="3" t="inlineStr">
        <is>
          <t>Single-arm dumbbell row</t>
        </is>
      </c>
      <c r="C138" s="3" t="inlineStr">
        <is>
          <t>záda</t>
        </is>
      </c>
      <c r="D138" s="3" t="inlineStr">
        <is>
          <t>začátečník</t>
        </is>
      </c>
      <c r="E138" s="3" t="inlineStr">
        <is>
          <t>činky</t>
        </is>
      </c>
      <c r="F138" s="3" t="inlineStr">
        <is>
          <t>obojí</t>
        </is>
      </c>
      <c r="G138" s="3" t="inlineStr">
        <is>
          <t>CrossFit</t>
        </is>
      </c>
      <c r="H138" s="3" t="inlineStr">
        <is>
          <t>hlavní</t>
        </is>
      </c>
      <c r="I138" s="3" t="n">
        <v>4</v>
      </c>
      <c r="J138" s="3" t="inlineStr">
        <is>
          <t>tah</t>
        </is>
      </c>
      <c r="K138" s="3" t="n">
        <v>12</v>
      </c>
      <c r="L138" s="4" t="inlineStr">
        <is>
          <t>V předklonu opři volnou ruku o koleno a druhou přitáhni činku k boku. Záda rovná.</t>
        </is>
      </c>
      <c r="M138" s="3" t="n"/>
      <c r="N138" s="3" t="inlineStr">
        <is>
          <t>opakování</t>
        </is>
      </c>
    </row>
    <row r="139">
      <c r="A139" s="3" t="inlineStr">
        <is>
          <t>Arnoldův tlak s činkami</t>
        </is>
      </c>
      <c r="B139" s="3" t="inlineStr">
        <is>
          <t>Arnold press</t>
        </is>
      </c>
      <c r="C139" s="3" t="inlineStr">
        <is>
          <t>ramena</t>
        </is>
      </c>
      <c r="D139" s="3" t="inlineStr">
        <is>
          <t>pokročilý</t>
        </is>
      </c>
      <c r="E139" s="3" t="inlineStr">
        <is>
          <t>činky</t>
        </is>
      </c>
      <c r="F139" s="3" t="inlineStr">
        <is>
          <t>obojí</t>
        </is>
      </c>
      <c r="G139" s="3" t="inlineStr">
        <is>
          <t>CrossFit</t>
        </is>
      </c>
      <c r="H139" s="3" t="inlineStr">
        <is>
          <t>hlavní</t>
        </is>
      </c>
      <c r="I139" s="3" t="n">
        <v>4</v>
      </c>
      <c r="J139" s="3" t="inlineStr">
        <is>
          <t>tlak</t>
        </is>
      </c>
      <c r="K139" s="3" t="n">
        <v>10</v>
      </c>
      <c r="L139" s="4" t="inlineStr">
        <is>
          <t>Činky před hrudí, při tlaku nad hlavu otáčej dlaně od sebe. Neprohýbej bedra.</t>
        </is>
      </c>
      <c r="M139" s="3" t="n"/>
      <c r="N139" s="3" t="inlineStr">
        <is>
          <t>opakování</t>
        </is>
      </c>
    </row>
    <row r="140">
      <c r="A140" s="3" t="inlineStr">
        <is>
          <t>TRX výpad s přítahem</t>
        </is>
      </c>
      <c r="B140" s="3" t="inlineStr">
        <is>
          <t>TRX lunge to row</t>
        </is>
      </c>
      <c r="C140" s="3" t="inlineStr">
        <is>
          <t>celé tělo</t>
        </is>
      </c>
      <c r="D140" s="3" t="inlineStr">
        <is>
          <t>pokročilý</t>
        </is>
      </c>
      <c r="E140" s="3" t="inlineStr">
        <is>
          <t>TRX</t>
        </is>
      </c>
      <c r="F140" s="3" t="inlineStr">
        <is>
          <t>obojí</t>
        </is>
      </c>
      <c r="G140" s="3" t="inlineStr">
        <is>
          <t>TRX</t>
        </is>
      </c>
      <c r="H140" s="3" t="inlineStr">
        <is>
          <t>hlavní</t>
        </is>
      </c>
      <c r="I140" s="3" t="n">
        <v>3</v>
      </c>
      <c r="J140" s="3" t="inlineStr">
        <is>
          <t>výpad</t>
        </is>
      </c>
      <c r="K140" s="3" t="n">
        <v>10</v>
      </c>
      <c r="L140" s="4" t="inlineStr">
        <is>
          <t>Drž madla, jdi do výpadu s nataženými pažemi. Při návratu přitáhni madla k hrudi.</t>
        </is>
      </c>
      <c r="M140" s="3" t="n"/>
      <c r="N140" s="3" t="inlineStr">
        <is>
          <t>opakování</t>
        </is>
      </c>
    </row>
    <row r="141">
      <c r="A141" s="3" t="inlineStr">
        <is>
          <t>TRX prkno s rozkročením</t>
        </is>
      </c>
      <c r="B141" s="3" t="inlineStr">
        <is>
          <t>TRX plank jack</t>
        </is>
      </c>
      <c r="C141" s="3" t="inlineStr">
        <is>
          <t>celé tělo</t>
        </is>
      </c>
      <c r="D141" s="3" t="inlineStr">
        <is>
          <t>pokročilý</t>
        </is>
      </c>
      <c r="E141" s="3" t="inlineStr">
        <is>
          <t>TRX</t>
        </is>
      </c>
      <c r="F141" s="3" t="inlineStr">
        <is>
          <t>obojí</t>
        </is>
      </c>
      <c r="G141" s="3" t="inlineStr">
        <is>
          <t>TRX</t>
        </is>
      </c>
      <c r="H141" s="3" t="inlineStr">
        <is>
          <t>hlavní</t>
        </is>
      </c>
      <c r="I141" s="3" t="n">
        <v>2</v>
      </c>
      <c r="J141" s="3" t="inlineStr">
        <is>
          <t>skok</t>
        </is>
      </c>
      <c r="K141" s="3" t="n">
        <v>20</v>
      </c>
      <c r="L141" s="4" t="inlineStr">
        <is>
          <t>Nohy v madlech ve vzporu, skákej s nohama do stran a zpět. Pánev drž nízko.</t>
        </is>
      </c>
      <c r="M141" s="3" t="n"/>
      <c r="N141" s="3" t="inlineStr">
        <is>
          <t>opakování</t>
        </is>
      </c>
    </row>
    <row r="142">
      <c r="A142" s="3" t="inlineStr">
        <is>
          <t>TRX dřep na jedné noze s přítahem</t>
        </is>
      </c>
      <c r="B142" s="3" t="inlineStr">
        <is>
          <t>TRX single-leg squat row</t>
        </is>
      </c>
      <c r="C142" s="3" t="inlineStr">
        <is>
          <t>celé tělo</t>
        </is>
      </c>
      <c r="D142" s="3" t="inlineStr">
        <is>
          <t>expert</t>
        </is>
      </c>
      <c r="E142" s="3" t="inlineStr">
        <is>
          <t>TRX</t>
        </is>
      </c>
      <c r="F142" s="3" t="inlineStr">
        <is>
          <t>obojí</t>
        </is>
      </c>
      <c r="G142" s="3" t="inlineStr">
        <is>
          <t>TRX</t>
        </is>
      </c>
      <c r="H142" s="3" t="inlineStr">
        <is>
          <t>hlavní</t>
        </is>
      </c>
      <c r="I142" s="3" t="n">
        <v>4</v>
      </c>
      <c r="J142" s="3" t="inlineStr">
        <is>
          <t>dřep</t>
        </is>
      </c>
      <c r="K142" s="3" t="n">
        <v>6</v>
      </c>
      <c r="L142" s="4" t="inlineStr">
        <is>
          <t>Stoj na jedné noze, sedni dolů a zároveň přitáhni madla. Vyměň nohu.</t>
        </is>
      </c>
      <c r="M142" s="3" t="n"/>
      <c r="N142" s="3" t="inlineStr">
        <is>
          <t>opakování</t>
        </is>
      </c>
    </row>
    <row r="143">
      <c r="A143" s="3" t="inlineStr">
        <is>
          <t>TRX dřep s tlakem</t>
        </is>
      </c>
      <c r="B143" s="3" t="inlineStr">
        <is>
          <t>TRX squat with chest press</t>
        </is>
      </c>
      <c r="C143" s="3" t="inlineStr">
        <is>
          <t>celé tělo</t>
        </is>
      </c>
      <c r="D143" s="3" t="inlineStr">
        <is>
          <t>začátečník</t>
        </is>
      </c>
      <c r="E143" s="3" t="inlineStr">
        <is>
          <t>TRX</t>
        </is>
      </c>
      <c r="F143" s="3" t="inlineStr">
        <is>
          <t>obojí</t>
        </is>
      </c>
      <c r="G143" s="3" t="inlineStr">
        <is>
          <t>TRX</t>
        </is>
      </c>
      <c r="H143" s="3" t="inlineStr">
        <is>
          <t>hlavní</t>
        </is>
      </c>
      <c r="I143" s="3" t="n">
        <v>3</v>
      </c>
      <c r="J143" s="3" t="inlineStr">
        <is>
          <t>dřep</t>
        </is>
      </c>
      <c r="K143" s="3" t="n">
        <v>12</v>
      </c>
      <c r="L143" s="4" t="inlineStr">
        <is>
          <t>Madla drž u hrudi a sedni do dřepu. Při vstávání vytlač paže vpřed.</t>
        </is>
      </c>
      <c r="M143" s="3" t="n"/>
      <c r="N143" s="3" t="inlineStr">
        <is>
          <t>opakování</t>
        </is>
      </c>
    </row>
    <row r="144">
      <c r="A144" s="3" t="inlineStr">
        <is>
          <t>TRX triceps ve stoje</t>
        </is>
      </c>
      <c r="B144" s="3" t="inlineStr">
        <is>
          <t>TRX standing triceps extension</t>
        </is>
      </c>
      <c r="C144" s="3" t="inlineStr">
        <is>
          <t>paže</t>
        </is>
      </c>
      <c r="D144" s="3" t="inlineStr">
        <is>
          <t>začátečník</t>
        </is>
      </c>
      <c r="E144" s="3" t="inlineStr">
        <is>
          <t>TRX</t>
        </is>
      </c>
      <c r="F144" s="3" t="inlineStr">
        <is>
          <t>obojí</t>
        </is>
      </c>
      <c r="G144" s="3" t="inlineStr">
        <is>
          <t>TRX</t>
        </is>
      </c>
      <c r="H144" s="3" t="inlineStr">
        <is>
          <t>hlavní</t>
        </is>
      </c>
      <c r="I144" s="3" t="n">
        <v>4</v>
      </c>
      <c r="J144" s="3" t="inlineStr">
        <is>
          <t>tlak</t>
        </is>
      </c>
      <c r="K144" s="3" t="n">
        <v>12</v>
      </c>
      <c r="L144" s="4" t="inlineStr">
        <is>
          <t>Čelem od ukotvení drž madla nad hlavou, ohni lokty a vytlač zpět. Lokty drž stabilně.</t>
        </is>
      </c>
      <c r="M144" s="3" t="n"/>
      <c r="N144" s="3" t="inlineStr">
        <is>
          <t>opakování</t>
        </is>
      </c>
    </row>
    <row r="145">
      <c r="A145" s="3" t="inlineStr">
        <is>
          <t>TRX biceps s nízkým náklonem</t>
        </is>
      </c>
      <c r="B145" s="3" t="inlineStr">
        <is>
          <t>TRX incline biceps curl</t>
        </is>
      </c>
      <c r="C145" s="3" t="inlineStr">
        <is>
          <t>paže</t>
        </is>
      </c>
      <c r="D145" s="3" t="inlineStr">
        <is>
          <t>pokročilý</t>
        </is>
      </c>
      <c r="E145" s="3" t="inlineStr">
        <is>
          <t>TRX</t>
        </is>
      </c>
      <c r="F145" s="3" t="inlineStr">
        <is>
          <t>obojí</t>
        </is>
      </c>
      <c r="G145" s="3" t="inlineStr">
        <is>
          <t>TRX</t>
        </is>
      </c>
      <c r="H145" s="3" t="inlineStr">
        <is>
          <t>hlavní</t>
        </is>
      </c>
      <c r="I145" s="3" t="n">
        <v>4</v>
      </c>
      <c r="J145" s="3" t="inlineStr">
        <is>
          <t>tah</t>
        </is>
      </c>
      <c r="K145" s="3" t="n">
        <v>10</v>
      </c>
      <c r="L145" s="4" t="inlineStr">
        <is>
          <t>Nakloň se dozadu, paže natažené. Přitáhni ruce k čelu, lokty nahoře.</t>
        </is>
      </c>
      <c r="M145" s="3" t="n"/>
      <c r="N145" s="3" t="inlineStr">
        <is>
          <t>opakování</t>
        </is>
      </c>
    </row>
    <row r="146">
      <c r="A146" s="3" t="inlineStr">
        <is>
          <t>TRX triceps na jedné ruce</t>
        </is>
      </c>
      <c r="B146" s="3" t="inlineStr">
        <is>
          <t>TRX single-arm triceps extension</t>
        </is>
      </c>
      <c r="C146" s="3" t="inlineStr">
        <is>
          <t>paže</t>
        </is>
      </c>
      <c r="D146" s="3" t="inlineStr">
        <is>
          <t>expert</t>
        </is>
      </c>
      <c r="E146" s="3" t="inlineStr">
        <is>
          <t>TRX</t>
        </is>
      </c>
      <c r="F146" s="3" t="inlineStr">
        <is>
          <t>obojí</t>
        </is>
      </c>
      <c r="G146" s="3" t="inlineStr">
        <is>
          <t>TRX</t>
        </is>
      </c>
      <c r="H146" s="3" t="inlineStr">
        <is>
          <t>hlavní</t>
        </is>
      </c>
      <c r="I146" s="3" t="n">
        <v>4</v>
      </c>
      <c r="J146" s="3" t="inlineStr">
        <is>
          <t>tlak</t>
        </is>
      </c>
      <c r="K146" s="3" t="n">
        <v>8</v>
      </c>
      <c r="L146" s="4" t="inlineStr">
        <is>
          <t>Drž jedno madlo, předloktí u hlavy, natáhni paži. Trup nerotuj. Vyměň ruku.</t>
        </is>
      </c>
      <c r="M146" s="3" t="n"/>
      <c r="N146" s="3" t="inlineStr">
        <is>
          <t>opakování</t>
        </is>
      </c>
    </row>
    <row r="147">
      <c r="A147" s="3" t="inlineStr">
        <is>
          <t>TRX dipy</t>
        </is>
      </c>
      <c r="B147" s="3" t="inlineStr">
        <is>
          <t>TRX dips</t>
        </is>
      </c>
      <c r="C147" s="3" t="inlineStr">
        <is>
          <t>paže</t>
        </is>
      </c>
      <c r="D147" s="3" t="inlineStr">
        <is>
          <t>pokročilý</t>
        </is>
      </c>
      <c r="E147" s="3" t="inlineStr">
        <is>
          <t>TRX</t>
        </is>
      </c>
      <c r="F147" s="3" t="inlineStr">
        <is>
          <t>obojí</t>
        </is>
      </c>
      <c r="G147" s="3" t="inlineStr">
        <is>
          <t>TRX</t>
        </is>
      </c>
      <c r="H147" s="3" t="inlineStr">
        <is>
          <t>hlavní</t>
        </is>
      </c>
      <c r="I147" s="3" t="n">
        <v>4</v>
      </c>
      <c r="J147" s="3" t="inlineStr">
        <is>
          <t>tlak</t>
        </is>
      </c>
      <c r="K147" s="3" t="n">
        <v>8</v>
      </c>
      <c r="L147" s="4" t="inlineStr">
        <is>
          <t>Oporu na madlech, tělo v lehkém náklonu. Ohni lokty a vytlač zpět. Lokty u těla.</t>
        </is>
      </c>
      <c r="M147" s="3" t="n"/>
      <c r="N147" s="3" t="inlineStr">
        <is>
          <t>opakování</t>
        </is>
      </c>
    </row>
    <row r="148">
      <c r="A148" s="3" t="inlineStr">
        <is>
          <t>TRX sklapovačky ve stoje</t>
        </is>
      </c>
      <c r="B148" s="3" t="inlineStr">
        <is>
          <t>TRX standing crunch</t>
        </is>
      </c>
      <c r="C148" s="3" t="inlineStr">
        <is>
          <t>core</t>
        </is>
      </c>
      <c r="D148" s="3" t="inlineStr">
        <is>
          <t>začátečník</t>
        </is>
      </c>
      <c r="E148" s="3" t="inlineStr">
        <is>
          <t>TRX</t>
        </is>
      </c>
      <c r="F148" s="3" t="inlineStr">
        <is>
          <t>obojí</t>
        </is>
      </c>
      <c r="G148" s="3" t="inlineStr">
        <is>
          <t>TRX</t>
        </is>
      </c>
      <c r="H148" s="3" t="inlineStr">
        <is>
          <t>hlavní</t>
        </is>
      </c>
      <c r="I148" s="3" t="n">
        <v>3</v>
      </c>
      <c r="J148" s="3" t="inlineStr">
        <is>
          <t>jiné</t>
        </is>
      </c>
      <c r="K148" s="3" t="n">
        <v>12</v>
      </c>
      <c r="L148" s="4" t="inlineStr">
        <is>
          <t>Čelem k ukotvení drž madla nad hlavou. Stáhni lokty k hrudi, břicho napni.</t>
        </is>
      </c>
      <c r="M148" s="3" t="n"/>
      <c r="N148" s="3" t="inlineStr">
        <is>
          <t>opakování</t>
        </is>
      </c>
    </row>
  </sheetData>
  <autoFilter ref="A1:N148"/>
  <dataValidations count="5">
    <dataValidation sqref="C2:C500" showDropDown="0" showInputMessage="0" showErrorMessage="0" allowBlank="0" type="list">
      <formula1>"nohy,záda,core,hrudník,ramena,paže,celé tělo"</formula1>
    </dataValidation>
    <dataValidation sqref="D2:D500" showDropDown="0" showInputMessage="0" showErrorMessage="0" allowBlank="0" type="list">
      <formula1>"začátečník,pokročilý,expert"</formula1>
    </dataValidation>
    <dataValidation sqref="F2:F500" showDropDown="0" showInputMessage="0" showErrorMessage="0" allowBlank="0" type="list">
      <formula1>"uvnitř,venku,obojí"</formula1>
    </dataValidation>
    <dataValidation sqref="I2:I500" showDropDown="0" showInputMessage="0" showErrorMessage="0" allowBlank="0" type="list">
      <formula1>"1,2,3,4,5"</formula1>
    </dataValidation>
    <dataValidation sqref="N2:N500" showDropDown="0" showInputMessage="0" showErrorMessage="0" allowBlank="0" type="list">
      <formula1>"opakování,sekundy,metry"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14" customWidth="1" min="3" max="3"/>
  </cols>
  <sheetData>
    <row r="1">
      <c r="A1" s="5" t="inlineStr">
        <is>
          <t>pomucka</t>
        </is>
      </c>
      <c r="B1" s="5" t="inlineStr">
        <is>
          <t>poznamka</t>
        </is>
      </c>
      <c r="C1" s="5" t="inlineStr">
        <is>
          <t>pocet_cviku</t>
        </is>
      </c>
    </row>
    <row r="2">
      <c r="A2" s="6" t="inlineStr">
        <is>
          <t>vlastní váha</t>
        </is>
      </c>
      <c r="B2" s="6" t="inlineStr">
        <is>
          <t>Bez vybavení.</t>
        </is>
      </c>
      <c r="C2" s="6">
        <f>COUNTIF(Cviky!$E$2:$E$500,"*"&amp;A2&amp;"*")</f>
        <v/>
      </c>
    </row>
    <row r="3">
      <c r="A3" s="6" t="inlineStr">
        <is>
          <t>TRX</t>
        </is>
      </c>
      <c r="B3" s="6" t="inlineStr">
        <is>
          <t>Závěsný systém, potřebuje kotvu (hrazda, strom, rám).</t>
        </is>
      </c>
      <c r="C3" s="6">
        <f>COUNTIF(Cviky!$E$2:$E$500,"*"&amp;A3&amp;"*")</f>
        <v/>
      </c>
    </row>
    <row r="4">
      <c r="A4" s="6" t="inlineStr">
        <is>
          <t>kettlebell</t>
        </is>
      </c>
      <c r="B4" s="6" t="inlineStr">
        <is>
          <t>Kulová činka.</t>
        </is>
      </c>
      <c r="C4" s="6">
        <f>COUNTIF(Cviky!$E$2:$E$500,"*"&amp;A4&amp;"*")</f>
        <v/>
      </c>
    </row>
    <row r="5">
      <c r="A5" s="6" t="inlineStr">
        <is>
          <t>činky</t>
        </is>
      </c>
      <c r="B5" s="6" t="inlineStr">
        <is>
          <t>Jednoruční činky.</t>
        </is>
      </c>
      <c r="C5" s="6">
        <f>COUNTIF(Cviky!$E$2:$E$500,"*"&amp;A5&amp;"*")</f>
        <v/>
      </c>
    </row>
    <row r="6">
      <c r="A6" s="6" t="inlineStr">
        <is>
          <t>odporová guma</t>
        </is>
      </c>
      <c r="B6" s="6" t="inlineStr">
        <is>
          <t>Posilovací guma / miniband.</t>
        </is>
      </c>
      <c r="C6" s="6">
        <f>COUNTIF(Cviky!$E$2:$E$500,"*"&amp;A6&amp;"*")</f>
        <v/>
      </c>
    </row>
    <row r="7">
      <c r="A7" s="6" t="inlineStr">
        <is>
          <t>medicinbal</t>
        </is>
      </c>
      <c r="B7" s="6" t="inlineStr">
        <is>
          <t>Míč na hody, i o zeď.</t>
        </is>
      </c>
      <c r="C7" s="6">
        <f>COUNTIF(Cviky!$E$2:$E$500,"*"&amp;A7&amp;"*")</f>
        <v/>
      </c>
    </row>
    <row r="8">
      <c r="A8" s="6" t="inlineStr">
        <is>
          <t>švihadlo</t>
        </is>
      </c>
      <c r="B8" s="6" t="inlineStr">
        <is>
          <t>Skákací lano.</t>
        </is>
      </c>
      <c r="C8" s="6">
        <f>COUNTIF(Cviky!$E$2:$E$500,"*"&amp;A8&amp;"*")</f>
        <v/>
      </c>
    </row>
    <row r="9">
      <c r="A9" s="6" t="inlineStr">
        <is>
          <t>bedna</t>
        </is>
      </c>
      <c r="B9" s="6" t="inlineStr">
        <is>
          <t>Plyo bedna nebo stabilní lavice.</t>
        </is>
      </c>
      <c r="C9" s="6">
        <f>COUNTIF(Cviky!$E$2:$E$500,"*"&amp;A9&amp;"*")</f>
        <v/>
      </c>
    </row>
    <row r="10">
      <c r="A10" s="6" t="inlineStr">
        <is>
          <t>hrazda</t>
        </is>
      </c>
      <c r="B10" s="6" t="inlineStr">
        <is>
          <t>Hrazda / nízká tyč pro přítahy.</t>
        </is>
      </c>
      <c r="C10" s="6">
        <f>COUNTIF(Cviky!$E$2:$E$500,"*"&amp;A10&amp;"*")</f>
        <v/>
      </c>
    </row>
    <row r="11">
      <c r="A11" s="6" t="inlineStr">
        <is>
          <t>lano</t>
        </is>
      </c>
      <c r="B11" s="6" t="inlineStr">
        <is>
          <t>Těžké lano (battle rope).</t>
        </is>
      </c>
      <c r="C11" s="6">
        <f>COUNTIF(Cviky!$E$2:$E$500,"*"&amp;A11&amp;"*")</f>
        <v/>
      </c>
    </row>
    <row r="12">
      <c r="A12" s="6" t="inlineStr">
        <is>
          <t>osa</t>
        </is>
      </c>
      <c r="B12" s="6" t="inlineStr">
        <is>
          <t>Olympijská osa (činka s osou).</t>
        </is>
      </c>
      <c r="C12" s="6">
        <f>COUNTIF(Cviky!$E$2:$E$500,"*"&amp;A12&amp;"*")</f>
        <v/>
      </c>
    </row>
    <row r="13">
      <c r="A13" s="6" t="inlineStr">
        <is>
          <t>row</t>
        </is>
      </c>
      <c r="B13" s="6" t="inlineStr">
        <is>
          <t>Veslovací trenažér.</t>
        </is>
      </c>
      <c r="C13" s="6">
        <f>COUNTIF(Cviky!$E$2:$E$500,"*"&amp;A13&amp;"*")</f>
        <v/>
      </c>
    </row>
    <row r="14">
      <c r="A14" s="6" t="inlineStr">
        <is>
          <t>SkiErg</t>
        </is>
      </c>
      <c r="B14" s="6" t="inlineStr">
        <is>
          <t>Ski trenažér (SkiErg).</t>
        </is>
      </c>
      <c r="C14" s="6">
        <f>COUNTIF(Cviky!$E$2:$E$500,"*"&amp;A14&amp;"*")</f>
        <v/>
      </c>
    </row>
    <row r="15">
      <c r="A15" s="6" t="inlineStr">
        <is>
          <t>bike</t>
        </is>
      </c>
      <c r="B15" s="6" t="inlineStr">
        <is>
          <t>Air bike / kolo s pažemi.</t>
        </is>
      </c>
      <c r="C15" s="6">
        <f>COUNTIF(Cviky!$E$2:$E$500,"*"&amp;A15&amp;"*")-COUNTIF(Cviky!$E$2:$E$500,"*echo bike*")</f>
        <v/>
      </c>
    </row>
    <row r="16">
      <c r="A16" s="6" t="inlineStr">
        <is>
          <t>echo bike</t>
        </is>
      </c>
      <c r="B16" s="6" t="inlineStr">
        <is>
          <t>Echo bike.</t>
        </is>
      </c>
      <c r="C16" s="6">
        <f>COUNTIF(Cviky!$E$2:$E$500,"*"&amp;A16&amp;"*")</f>
        <v/>
      </c>
    </row>
    <row r="17">
      <c r="A17" s="6" t="inlineStr">
        <is>
          <t>sandbag</t>
        </is>
      </c>
      <c r="B17" s="6" t="inlineStr">
        <is>
          <t>Pytel s pískem.</t>
        </is>
      </c>
      <c r="C17" s="6">
        <f>COUNTIF(Cviky!$E$2:$E$500,"*"&amp;A17&amp;"*")</f>
        <v/>
      </c>
    </row>
    <row r="18">
      <c r="A18" s="6" t="inlineStr">
        <is>
          <t>bosu</t>
        </is>
      </c>
      <c r="B18" s="6" t="inlineStr">
        <is>
          <t>Půlkulová balanční podložka.</t>
        </is>
      </c>
      <c r="C18" s="6">
        <f>COUNTIF(Cviky!$E$2:$E$500,"*"&amp;A18&amp;"*")</f>
        <v/>
      </c>
    </row>
    <row r="19">
      <c r="A19" s="6" t="inlineStr">
        <is>
          <t>kotouče</t>
        </is>
      </c>
      <c r="B19" s="6" t="inlineStr">
        <is>
          <t>Kotouče na osu.</t>
        </is>
      </c>
      <c r="C19" s="6">
        <f>COUNTIF(Cviky!$E$2:$E$500,"*"&amp;A19&amp;"*")</f>
        <v/>
      </c>
    </row>
    <row r="20">
      <c r="A20" s="6" t="inlineStr">
        <is>
          <t>stepper</t>
        </is>
      </c>
      <c r="B20" s="6" t="inlineStr">
        <is>
          <t>Nízká bedna / stepper.</t>
        </is>
      </c>
      <c r="C20" s="6">
        <f>COUNTIF(Cviky!$E$2:$E$500,"*"&amp;A20&amp;"*")</f>
        <v/>
      </c>
    </row>
    <row r="21">
      <c r="A21" s="6" t="inlineStr">
        <is>
          <t>roller</t>
        </is>
      </c>
      <c r="B21" s="6" t="inlineStr">
        <is>
          <t>Kolečko na cviky na břicho.</t>
        </is>
      </c>
      <c r="C21" s="6">
        <f>COUNTIF(Cviky!$E$2:$E$500,"*"&amp;A21&amp;"*")</f>
        <v/>
      </c>
    </row>
    <row r="22">
      <c r="A22" s="6" t="inlineStr">
        <is>
          <t>Poznámka: podložka není pomůcka (trénink s ní nepočítá). Počty zahrnují shodu textu; názvy v listu Cviky musí být přesně podle tohoto číselníku.</t>
        </is>
      </c>
      <c r="B22" s="6" t="n"/>
      <c r="C22" s="6" t="n"/>
    </row>
    <row r="24">
      <c r="A24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80" customWidth="1" min="3" max="3"/>
    <col width="45" customWidth="1" min="4" max="4"/>
  </cols>
  <sheetData>
    <row r="1">
      <c r="A1" s="2" t="inlineStr">
        <is>
          <t>#</t>
        </is>
      </c>
      <c r="B1" s="2" t="inlineStr">
        <is>
          <t>typ</t>
        </is>
      </c>
      <c r="C1" s="2" t="inlineStr">
        <is>
          <t>pravidlo</t>
        </is>
      </c>
      <c r="D1" s="2" t="inlineStr">
        <is>
          <t>poznamka</t>
        </is>
      </c>
    </row>
    <row r="2">
      <c r="A2" s="4" t="n">
        <v>1</v>
      </c>
      <c r="B2" s="4" t="inlineStr">
        <is>
          <t>formát</t>
        </is>
      </c>
      <c r="C2" s="4" t="inlineStr">
        <is>
          <t>TRX: používat jen cviky s formátem TRX (min. 80 % cviků v tréninku s pomůckou TRX, zbytek vlastní váha).</t>
        </is>
      </c>
      <c r="D2" s="4" t="inlineStr">
        <is>
          <t>Vylučuje bednu, hrazdu, lano, kettlebell, činky.</t>
        </is>
      </c>
    </row>
    <row r="3">
      <c r="A3" s="4" t="n">
        <v>2</v>
      </c>
      <c r="B3" s="4" t="inlineStr">
        <is>
          <t>formát</t>
        </is>
      </c>
      <c r="C3" s="4" t="inlineStr">
        <is>
          <t>Tabata: upřednostnit jednoduché cviky, ideálně vlastní váha nebo 1 pomůcka. Expert techniku dostanou jen expert skupiny (řeší pravidlo úrovně).</t>
        </is>
      </c>
      <c r="D3" s="4" t="inlineStr">
        <is>
          <t>Např. trh s činkou, turecký vstávací, dvojité švihy.</t>
        </is>
      </c>
    </row>
    <row r="4">
      <c r="A4" s="4" t="n">
        <v>3</v>
      </c>
      <c r="B4" s="4" t="inlineStr">
        <is>
          <t>formát</t>
        </is>
      </c>
      <c r="C4" s="4" t="inlineStr">
        <is>
          <t>CrossFit: nepoužívat cviky označené jen pro TRX.</t>
        </is>
      </c>
      <c r="D4" s="4" t="inlineStr">
        <is>
          <t>TRX cviky mají formát jen „TRX“.</t>
        </is>
      </c>
    </row>
    <row r="5">
      <c r="A5" s="4" t="n">
        <v>4</v>
      </c>
      <c r="B5" s="4" t="inlineStr">
        <is>
          <t>prostředí</t>
        </is>
      </c>
      <c r="C5" s="4" t="inlineStr">
        <is>
          <t>Trenažéry (row, SkiErg, bike, echo bike) a bosu mají prostředí „uvnitř“.</t>
        </is>
      </c>
      <c r="D5" s="4" t="inlineStr">
        <is>
          <t>Do venkovního tréninku je nenabízet.</t>
        </is>
      </c>
    </row>
    <row r="6">
      <c r="A6" s="4" t="n">
        <v>5</v>
      </c>
      <c r="B6" s="4" t="inlineStr">
        <is>
          <t>blok</t>
        </is>
      </c>
      <c r="C6" s="4" t="inlineStr">
        <is>
          <t>Rozcvička: kardio_sila 1–3, bez úrovně expert, bez náročných skoků a hodů (lehké skoky typu skákací panák jsou povoleny).</t>
        </is>
      </c>
      <c r="D6" s="4" t="inlineStr">
        <is>
          <t>Zdravý začátek, nízké riziko zranění.</t>
        </is>
      </c>
    </row>
    <row r="7">
      <c r="A7" s="4" t="n">
        <v>6</v>
      </c>
      <c r="B7" s="4" t="inlineStr">
        <is>
          <t>blok</t>
        </is>
      </c>
      <c r="C7" s="4" t="inlineStr">
        <is>
          <t>Zklidnění: kardio_sila 2, úroveň začátečník nebo pokročilý (např. Holubice), bez skoků.</t>
        </is>
      </c>
      <c r="D7" s="4" t="inlineStr">
        <is>
          <t>Protažení a dechová cvičení.</t>
        </is>
      </c>
    </row>
    <row r="8">
      <c r="A8" s="4" t="n">
        <v>7</v>
      </c>
      <c r="B8" s="4" t="inlineStr">
        <is>
          <t>pořadí</t>
        </is>
      </c>
      <c r="C8" s="4" t="inlineStr">
        <is>
          <t>Ne dva cviky na stejnou partii za sebou při Tabatě (8 kol × 20/10 s).</t>
        </is>
      </c>
      <c r="D8" s="4" t="inlineStr">
        <is>
          <t>Střídat horní/dolní/core.</t>
        </is>
      </c>
    </row>
    <row r="9">
      <c r="A9" s="4" t="n">
        <v>8</v>
      </c>
      <c r="B9" s="4" t="inlineStr">
        <is>
          <t>pořadí</t>
        </is>
      </c>
      <c r="C9" s="4" t="inlineStr">
        <is>
          <t>Ne klik za klikem ani tlak za tlakem (hrudník → ramena → paže).</t>
        </is>
      </c>
      <c r="D9" s="4" t="inlineStr">
        <is>
          <t>Únava ramenního kloubu.</t>
        </is>
      </c>
    </row>
    <row r="10">
      <c r="A10" s="4" t="n">
        <v>9</v>
      </c>
      <c r="B10" s="4" t="inlineStr">
        <is>
          <t>pořadí</t>
        </is>
      </c>
      <c r="C10" s="4" t="inlineStr">
        <is>
          <t>Kettlebell swing a mrtvý tah nejdou těsně za sebou.</t>
        </is>
      </c>
      <c r="D10" s="4" t="inlineStr">
        <is>
          <t>Přetížení dolní části zad.</t>
        </is>
      </c>
    </row>
    <row r="11">
      <c r="A11" s="4" t="n">
        <v>10</v>
      </c>
      <c r="B11" s="4" t="inlineStr">
        <is>
          <t>pořadí</t>
        </is>
      </c>
      <c r="C11" s="4" t="inlineStr">
        <is>
          <t>Dva skoky po sobě nezařazovat (např. box jump → dřep s výskokem).</t>
        </is>
      </c>
      <c r="D11" s="4" t="inlineStr">
        <is>
          <t>Zátěž na kolena a Achillovky.</t>
        </is>
      </c>
    </row>
    <row r="12">
      <c r="A12" s="4" t="n">
        <v>11</v>
      </c>
      <c r="B12" s="4" t="inlineStr">
        <is>
          <t>pořadí</t>
        </is>
      </c>
      <c r="C12" s="4" t="inlineStr">
        <is>
          <t>Přítahy na hrazdě a australské přítahy po veslování nezařazovat za sebe.</t>
        </is>
      </c>
      <c r="D12" s="4" t="inlineStr">
        <is>
          <t>Únava úchopu.</t>
        </is>
      </c>
    </row>
    <row r="13">
      <c r="A13" s="4" t="n">
        <v>12</v>
      </c>
      <c r="B13" s="4" t="inlineStr">
        <is>
          <t>prostředí</t>
        </is>
      </c>
      <c r="C13" s="4" t="inlineStr">
        <is>
          <t>Venku: vyřadit cviky s prostředím „uvnitř“ (lano, hrazda, stoj na rukou u zdi, protažení ve dveřích).</t>
        </is>
      </c>
      <c r="D13" s="4" t="inlineStr">
        <is>
          <t>Hrazda je myšlena uvnitř. Běhy jsou jen venku.</t>
        </is>
      </c>
    </row>
    <row r="14">
      <c r="A14" s="4" t="n">
        <v>13</v>
      </c>
      <c r="B14" s="4" t="inlineStr">
        <is>
          <t>úroveň</t>
        </is>
      </c>
      <c r="C14" s="4" t="inlineStr">
        <is>
          <t>VYPUŠTĚNO. Platí jen: začátečník nikdy nedostane cviky vyšší úrovně.</t>
        </is>
      </c>
      <c r="D14" s="4" t="inlineStr">
        <is>
          <t>Podle úrovně klientů.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8" customWidth="1" min="1" max="1"/>
  </cols>
  <sheetData>
    <row r="1">
      <c r="A1" s="5" t="inlineStr">
        <is>
          <t>kritérium</t>
        </is>
      </c>
      <c r="B1" s="5" t="inlineStr">
        <is>
          <t>počet</t>
        </is>
      </c>
    </row>
    <row r="2">
      <c r="A2" s="6" t="inlineStr">
        <is>
          <t>Celkem cviků</t>
        </is>
      </c>
      <c r="B2" s="6">
        <f>COUNTA(Cviky!$A$2:$A$500)</f>
        <v/>
      </c>
    </row>
    <row r="3">
      <c r="A3" s="6" t="inlineStr">
        <is>
          <t>Formát Tabata</t>
        </is>
      </c>
      <c r="B3" s="6">
        <f>COUNTIF(Cviky!$G$2:$G$500,"*Tabata*")</f>
        <v/>
      </c>
    </row>
    <row r="4">
      <c r="A4" s="6" t="inlineStr">
        <is>
          <t>Formát TRX</t>
        </is>
      </c>
      <c r="B4" s="6">
        <f>COUNTIF(Cviky!$G$2:$G$500,"*TRX*")</f>
        <v/>
      </c>
    </row>
    <row r="5">
      <c r="A5" s="6" t="inlineStr">
        <is>
          <t>Formát CrossFit</t>
        </is>
      </c>
      <c r="B5" s="6">
        <f>COUNTIF(Cviky!$G$2:$G$500,"*CrossFit*")</f>
        <v/>
      </c>
    </row>
    <row r="6">
      <c r="A6" s="6" t="inlineStr">
        <is>
          <t>Úroveň začátečník</t>
        </is>
      </c>
      <c r="B6" s="6">
        <f>COUNTIF(Cviky!$D$2:$D$500,"začátečník")</f>
        <v/>
      </c>
    </row>
    <row r="7">
      <c r="A7" s="6" t="inlineStr">
        <is>
          <t>Úroveň pokročilý</t>
        </is>
      </c>
      <c r="B7" s="6">
        <f>COUNTIF(Cviky!$D$2:$D$500,"pokročilý")</f>
        <v/>
      </c>
    </row>
    <row r="8">
      <c r="A8" s="6" t="inlineStr">
        <is>
          <t>Úroveň expert</t>
        </is>
      </c>
      <c r="B8" s="6">
        <f>COUNTIF(Cviky!$D$2:$D$500,"expert")</f>
        <v/>
      </c>
    </row>
    <row r="9">
      <c r="A9" s="6" t="inlineStr">
        <is>
          <t>Partie nohy</t>
        </is>
      </c>
      <c r="B9" s="6">
        <f>COUNTIF(Cviky!$C$2:$C$500,"nohy")</f>
        <v/>
      </c>
    </row>
    <row r="10">
      <c r="A10" s="6" t="inlineStr">
        <is>
          <t>Partie záda</t>
        </is>
      </c>
      <c r="B10" s="6">
        <f>COUNTIF(Cviky!$C$2:$C$500,"záda")</f>
        <v/>
      </c>
    </row>
    <row r="11">
      <c r="A11" s="6" t="inlineStr">
        <is>
          <t>Partie core</t>
        </is>
      </c>
      <c r="B11" s="6">
        <f>COUNTIF(Cviky!$C$2:$C$500,"core")</f>
        <v/>
      </c>
    </row>
    <row r="12">
      <c r="A12" s="6" t="inlineStr">
        <is>
          <t>Partie hrudník</t>
        </is>
      </c>
      <c r="B12" s="6">
        <f>COUNTIF(Cviky!$C$2:$C$500,"hrudník")</f>
        <v/>
      </c>
    </row>
    <row r="13">
      <c r="A13" s="6" t="inlineStr">
        <is>
          <t>Partie ramena</t>
        </is>
      </c>
      <c r="B13" s="6">
        <f>COUNTIF(Cviky!$C$2:$C$500,"ramena")</f>
        <v/>
      </c>
    </row>
    <row r="14">
      <c r="A14" s="6" t="inlineStr">
        <is>
          <t>Partie paže</t>
        </is>
      </c>
      <c r="B14" s="6">
        <f>COUNTIF(Cviky!$C$2:$C$500,"paže")</f>
        <v/>
      </c>
    </row>
    <row r="15">
      <c r="A15" s="6" t="inlineStr">
        <is>
          <t>Partie celé tělo</t>
        </is>
      </c>
      <c r="B15" s="6">
        <f>COUNTIF(Cviky!$C$2:$C$500,"celé tělo")</f>
        <v/>
      </c>
    </row>
    <row r="16">
      <c r="A16" s="6" t="inlineStr">
        <is>
          <t>Blok rozcvička</t>
        </is>
      </c>
      <c r="B16" s="6">
        <f>COUNTIF(Cviky!$H$2:$H$500,"*rozcvička*")</f>
        <v/>
      </c>
    </row>
    <row r="17">
      <c r="A17" s="6" t="inlineStr">
        <is>
          <t>Blok hlavní</t>
        </is>
      </c>
      <c r="B17" s="6">
        <f>COUNTIF(Cviky!$H$2:$H$500,"*hlavní*")</f>
        <v/>
      </c>
    </row>
    <row r="18">
      <c r="A18" s="6" t="inlineStr">
        <is>
          <t>Blok zklidnění</t>
        </is>
      </c>
      <c r="B18" s="6">
        <f>COUNTIF(Cviky!$H$2:$H$500,"*zklidnění*")</f>
        <v/>
      </c>
    </row>
    <row r="19">
      <c r="A19" s="6" t="inlineStr">
        <is>
          <t>Prostředí uvnitř</t>
        </is>
      </c>
      <c r="B19" s="6">
        <f>COUNTIF(Cviky!$F$2:$F$500,"uvnitř")</f>
        <v/>
      </c>
    </row>
    <row r="20">
      <c r="A20" s="6" t="inlineStr">
        <is>
          <t>Prostředí venku</t>
        </is>
      </c>
      <c r="B20" s="6">
        <f>COUNTIF(Cviky!$F$2:$F$500,"venku")</f>
        <v/>
      </c>
    </row>
    <row r="21">
      <c r="A21" s="6" t="inlineStr">
        <is>
          <t>Prostředí obojí</t>
        </is>
      </c>
      <c r="B21" s="6">
        <f>COUNTIF(Cviky!$F$2:$F$500,"obojí")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2026-10-06T20:05:30Z</dcterms:created>
  <dcterms:modified xsi:type="dcterms:W3CDTF">2026-10-06T20:23:57Z</dcterms:modified>
</cp:coreProperties>
</file>